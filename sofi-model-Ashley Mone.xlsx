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Owner\Downloads\"/>
    </mc:Choice>
  </mc:AlternateContent>
  <xr:revisionPtr revIDLastSave="0" documentId="13_ncr:1_{4E2DEF00-0ABE-48E5-AFCE-1BAC65FCE35E}" xr6:coauthVersionLast="47" xr6:coauthVersionMax="47" xr10:uidLastSave="{00000000-0000-0000-0000-000000000000}"/>
  <bookViews>
    <workbookView xWindow="-108" yWindow="-108" windowWidth="23256" windowHeight="13896" tabRatio="500" activeTab="6" xr2:uid="{00000000-000D-0000-FFFF-FFFF00000000}"/>
  </bookViews>
  <sheets>
    <sheet name="README" sheetId="1" r:id="rId1"/>
    <sheet name="1. Historicals" sheetId="2" r:id="rId2"/>
    <sheet name="2. Assumptions" sheetId="3" r:id="rId3"/>
    <sheet name="3. Projections" sheetId="4" r:id="rId4"/>
    <sheet name="4. Valuation" sheetId="5" r:id="rId5"/>
    <sheet name="5. Comps - Banks" sheetId="6" r:id="rId6"/>
    <sheet name="6. Comps - Fintechs" sheetId="7" r:id="rId7"/>
    <sheet name="7. Sensitivity" sheetId="8" r:id="rId8"/>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47" i="8" l="1"/>
  <c r="E46" i="8"/>
  <c r="E47" i="8" s="1"/>
  <c r="D46" i="8"/>
  <c r="D47" i="8" s="1"/>
  <c r="C46" i="8"/>
  <c r="E41" i="8"/>
  <c r="D41" i="8"/>
  <c r="C41" i="8"/>
  <c r="D30" i="8"/>
  <c r="C30" i="8"/>
  <c r="D28" i="8"/>
  <c r="C28" i="8"/>
  <c r="D26" i="8"/>
  <c r="C26" i="8"/>
  <c r="C15" i="8"/>
  <c r="C12" i="7"/>
  <c r="G9" i="7"/>
  <c r="G8" i="7"/>
  <c r="G7" i="7"/>
  <c r="C11" i="7" s="1"/>
  <c r="C12" i="6"/>
  <c r="G9" i="6"/>
  <c r="G8" i="6"/>
  <c r="G7" i="6"/>
  <c r="C11" i="6" s="1"/>
  <c r="C19" i="4"/>
  <c r="C16" i="4"/>
  <c r="D16" i="4" s="1"/>
  <c r="C15" i="4"/>
  <c r="C13" i="4"/>
  <c r="D13" i="4" s="1"/>
  <c r="E13" i="4" s="1"/>
  <c r="F13" i="4" s="1"/>
  <c r="C12" i="4"/>
  <c r="E9" i="4"/>
  <c r="E12" i="4" s="1"/>
  <c r="E14" i="4" s="1"/>
  <c r="D9" i="4"/>
  <c r="D12" i="4" s="1"/>
  <c r="D14" i="4" s="1"/>
  <c r="C8" i="4"/>
  <c r="D8" i="4" s="1"/>
  <c r="D7" i="4"/>
  <c r="E7" i="4" s="1"/>
  <c r="F7" i="4" s="1"/>
  <c r="C7" i="4"/>
  <c r="C18" i="3"/>
  <c r="C18" i="5" s="1"/>
  <c r="E56" i="2"/>
  <c r="E55" i="2"/>
  <c r="E54" i="2"/>
  <c r="E53" i="2"/>
  <c r="E52" i="2"/>
  <c r="E48" i="2"/>
  <c r="E47" i="2"/>
  <c r="E46" i="2"/>
  <c r="E45" i="2"/>
  <c r="E44" i="2"/>
  <c r="E43" i="2"/>
  <c r="E9" i="2"/>
  <c r="C14" i="4" s="1"/>
  <c r="D9" i="2"/>
  <c r="C9" i="2"/>
  <c r="C63" i="5"/>
  <c r="C43" i="5"/>
  <c r="C38" i="5"/>
  <c r="C58" i="5" s="1"/>
  <c r="C19" i="5"/>
  <c r="D13" i="8" s="1"/>
  <c r="C17" i="5"/>
  <c r="C16" i="5"/>
  <c r="C15" i="5"/>
  <c r="C12" i="5"/>
  <c r="C51" i="5" s="1"/>
  <c r="C11" i="5"/>
  <c r="D29" i="8" s="1"/>
  <c r="D31" i="8" s="1"/>
  <c r="C9" i="5"/>
  <c r="H7" i="7" s="1"/>
  <c r="C47" i="5" l="1"/>
  <c r="C48" i="5" s="1"/>
  <c r="E28" i="5"/>
  <c r="D24" i="5"/>
  <c r="F28" i="5"/>
  <c r="D28" i="5"/>
  <c r="C52" i="5"/>
  <c r="D15" i="4"/>
  <c r="E8" i="4"/>
  <c r="D17" i="4"/>
  <c r="D28" i="4"/>
  <c r="D30" i="4" s="1"/>
  <c r="D22" i="4"/>
  <c r="E22" i="4"/>
  <c r="E16" i="4"/>
  <c r="D24" i="4"/>
  <c r="C23" i="4"/>
  <c r="C17" i="4"/>
  <c r="F8" i="8"/>
  <c r="C11" i="8"/>
  <c r="E13" i="8"/>
  <c r="G8" i="8"/>
  <c r="D11" i="8"/>
  <c r="F13" i="8"/>
  <c r="C9" i="8"/>
  <c r="E11" i="8"/>
  <c r="G13" i="8"/>
  <c r="D9" i="8"/>
  <c r="F11" i="8"/>
  <c r="F9" i="4"/>
  <c r="F12" i="4" s="1"/>
  <c r="F14" i="4" s="1"/>
  <c r="E9" i="8"/>
  <c r="G11" i="8"/>
  <c r="F9" i="8"/>
  <c r="C12" i="8"/>
  <c r="H7" i="6"/>
  <c r="G9" i="8"/>
  <c r="D12" i="8"/>
  <c r="C10" i="8"/>
  <c r="E12" i="8"/>
  <c r="D10" i="8"/>
  <c r="F12" i="8"/>
  <c r="C8" i="8"/>
  <c r="E10" i="8"/>
  <c r="G12" i="8"/>
  <c r="C29" i="8"/>
  <c r="C31" i="8" s="1"/>
  <c r="D8" i="8"/>
  <c r="F10" i="8"/>
  <c r="C13" i="8"/>
  <c r="E8" i="8"/>
  <c r="G10" i="8"/>
  <c r="H9" i="6" l="1"/>
  <c r="H8" i="7"/>
  <c r="D18" i="4"/>
  <c r="D19" i="4" s="1"/>
  <c r="D31" i="4"/>
  <c r="D33" i="4" s="1"/>
  <c r="F22" i="4"/>
  <c r="E15" i="4"/>
  <c r="E17" i="4" s="1"/>
  <c r="F8" i="4"/>
  <c r="F15" i="4" s="1"/>
  <c r="F17" i="4" s="1"/>
  <c r="E24" i="4"/>
  <c r="F16" i="4"/>
  <c r="F24" i="4" s="1"/>
  <c r="F18" i="4" l="1"/>
  <c r="F19" i="4" s="1"/>
  <c r="D25" i="4"/>
  <c r="H8" i="6" s="1"/>
  <c r="D23" i="4"/>
  <c r="H9" i="7" s="1"/>
  <c r="D23" i="5"/>
  <c r="E18" i="4"/>
  <c r="E19" i="4" s="1"/>
  <c r="E23" i="4" l="1"/>
  <c r="E23" i="5"/>
  <c r="F23" i="5"/>
  <c r="F23" i="4"/>
  <c r="D26" i="5"/>
  <c r="E22" i="5" s="1"/>
  <c r="D25" i="5"/>
  <c r="D29" i="5" s="1"/>
  <c r="E24" i="5" l="1"/>
  <c r="E26" i="5"/>
  <c r="F22" i="5" s="1"/>
  <c r="E25" i="5"/>
  <c r="E29" i="5" s="1"/>
  <c r="E25" i="4"/>
  <c r="C39" i="5" l="1"/>
  <c r="F24" i="5"/>
  <c r="F25" i="5" s="1"/>
  <c r="F29" i="5" s="1"/>
  <c r="F26" i="5"/>
  <c r="C33" i="5" s="1"/>
  <c r="C34" i="5" s="1"/>
  <c r="C35" i="5" s="1"/>
  <c r="C40" i="5" s="1"/>
  <c r="F25" i="4"/>
  <c r="C60" i="5" l="1"/>
  <c r="E69" i="5"/>
  <c r="E70" i="5" s="1"/>
  <c r="C69" i="5"/>
  <c r="C70" i="5" s="1"/>
  <c r="C59" i="5"/>
  <c r="C41" i="5"/>
  <c r="F69" i="5"/>
  <c r="F70" i="5" s="1"/>
  <c r="D69" i="5"/>
  <c r="D70" i="5" s="1"/>
  <c r="C42" i="5" l="1"/>
  <c r="C61" i="5"/>
  <c r="C62" i="5"/>
  <c r="C65" i="5" l="1"/>
  <c r="C44" i="5"/>
  <c r="C16" i="8"/>
  <c r="C64" i="5"/>
</calcChain>
</file>

<file path=xl/sharedStrings.xml><?xml version="1.0" encoding="utf-8"?>
<sst xmlns="http://schemas.openxmlformats.org/spreadsheetml/2006/main" count="448" uniqueCount="269">
  <si>
    <t>SoFi Technologies, Inc. (NASDAQ: SOFI)</t>
  </si>
  <si>
    <t>Equity valuation model: residual income</t>
  </si>
  <si>
    <t>Prepared by</t>
  </si>
  <si>
    <t>Ashley Mone · August 2026</t>
  </si>
  <si>
    <t>Purpose</t>
  </si>
  <si>
    <t>Values SoFi under a bank lens and a fintech lens to test which framework the market is applying.</t>
  </si>
  <si>
    <t>Sources</t>
  </si>
  <si>
    <t>SoFi 2025 Form 10-K; Q4 2025 and Q2 2026 earnings releases and call transcript.</t>
  </si>
  <si>
    <t>Peer figures from Q2 2026 company filings. Market data as of August 10, 2026.</t>
  </si>
  <si>
    <t>Risk-free rate: FRED (DGS10). Equity risk premium: Damodaran implied ERP, 2026.</t>
  </si>
  <si>
    <t>Legend</t>
  </si>
  <si>
    <t>Blue = input   ·   Black = formula   ·   Green = link to another tab   ·   n/a = not applicable</t>
  </si>
  <si>
    <t>Contents</t>
  </si>
  <si>
    <t>1  Historicals:  reported figures, FY2023 to FY2025</t>
  </si>
  <si>
    <t>2  Assumptions:  forecast drivers, each with sourced reasoning</t>
  </si>
  <si>
    <t>3  Projections:  2026E to 2028E, with checks against management guidance</t>
  </si>
  <si>
    <t>4  Valuation:  residual income, terminal value, reverse test</t>
  </si>
  <si>
    <t>5  Bank comparables</t>
  </si>
  <si>
    <t>6  Fintech comparables</t>
  </si>
  <si>
    <t>7  Sensitivity and bear / base / bull scenarios</t>
  </si>
  <si>
    <t>Key assumptions</t>
  </si>
  <si>
    <t>Cost of equity 14.00% (beta 2.20). Terminal ROTCE 20%, the low end of management's 20-30% target.</t>
  </si>
  <si>
    <t>2026 revenue forecast runs 3.9% above the top of management's guidance range, deliberately.</t>
  </si>
  <si>
    <t>Conclusion</t>
  </si>
  <si>
    <t>Value per share $10.18 vs. market $18.38. At the current price the market implies ~29% long-run</t>
  </si>
  <si>
    <t>return on tangible common equity; this forecast reaches 13.3% by 2028.</t>
  </si>
  <si>
    <t>A standard DCF is not used: a growing lender consumes cash, so free cash flow understates value.</t>
  </si>
  <si>
    <t>TAB 1: HISTORICAL FINANCIALS</t>
  </si>
  <si>
    <t xml:space="preserve"> All numbers in $ thousands, exactly as the 10-K reports them.</t>
  </si>
  <si>
    <t>Line item</t>
  </si>
  <si>
    <t>FY2023</t>
  </si>
  <si>
    <t>FY2024</t>
  </si>
  <si>
    <t>FY2025</t>
  </si>
  <si>
    <t>Source (page + statement)</t>
  </si>
  <si>
    <t>INCOME STATEMENT  (10-K p.149)</t>
  </si>
  <si>
    <t>Net interest income</t>
  </si>
  <si>
    <t>Total noninterest income</t>
  </si>
  <si>
    <t>Total net revenue</t>
  </si>
  <si>
    <t>Provision for credit losses</t>
  </si>
  <si>
    <t>Total noninterest expense</t>
  </si>
  <si>
    <t>Net income (loss)</t>
  </si>
  <si>
    <t>BALANCE SHEET  (10-K p.147)</t>
  </si>
  <si>
    <t>Total deposits</t>
  </si>
  <si>
    <t>Loans held for sale</t>
  </si>
  <si>
    <t>Loans held for investment, fair value</t>
  </si>
  <si>
    <t>Loans held for investment, amortized cost</t>
  </si>
  <si>
    <t>Total assets</t>
  </si>
  <si>
    <t>Total liabilities</t>
  </si>
  <si>
    <t>Total permanent equity</t>
  </si>
  <si>
    <t>KEY RATIOS  (p.94: check, don't guess)</t>
  </si>
  <si>
    <t>Net interest margin</t>
  </si>
  <si>
    <t>Total risk-based capital ratio (SoFi Bank)</t>
  </si>
  <si>
    <t>CASH FLOW  (10-K p.151)</t>
  </si>
  <si>
    <t>Net cash from operating activities</t>
  </si>
  <si>
    <t>Net cash from investing activities</t>
  </si>
  <si>
    <t>Net cash from financing activities</t>
  </si>
  <si>
    <t>2025 10-K, p.94, Selected Financial Data</t>
  </si>
  <si>
    <t>H1 2026 REFERENCE</t>
  </si>
  <si>
    <t>Evidence supporting the Tab 2 assumptions. H1 = first half (Jan-Jun).</t>
  </si>
  <si>
    <t>H1 2025</t>
  </si>
  <si>
    <t>H1 2026</t>
  </si>
  <si>
    <t>% change</t>
  </si>
  <si>
    <t>Source</t>
  </si>
  <si>
    <t>Q2'26 release, Table 1, p.14</t>
  </si>
  <si>
    <t>Net income</t>
  </si>
  <si>
    <t>Q2'26 release, Table 4, p.23</t>
  </si>
  <si>
    <t>BALANCE SHEET SNAPSHOT (point in time, not a period)</t>
  </si>
  <si>
    <t>Dec 31, 2025</t>
  </si>
  <si>
    <t>Jun 30, 2026</t>
  </si>
  <si>
    <t>Q2'26 release, Table 3, p.21</t>
  </si>
  <si>
    <t>Loans held for investment, FV</t>
  </si>
  <si>
    <t>Total equity</t>
  </si>
  <si>
    <t>All figures in $ thousands. Blue = typed from source document. Black = formula.</t>
  </si>
  <si>
    <t>Balance sheet rows compare two dates six months apart, not two six-month periods.</t>
  </si>
  <si>
    <t>TAB 2: FORECAST ASSUMPTIONS</t>
  </si>
  <si>
    <t>Every assumption on this tab carries a stated reason in the Why column.</t>
  </si>
  <si>
    <t>Driver</t>
  </si>
  <si>
    <t>2026E</t>
  </si>
  <si>
    <t>2027E</t>
  </si>
  <si>
    <t>2028E</t>
  </si>
  <si>
    <t>Why</t>
  </si>
  <si>
    <t>Deposit growth rate</t>
  </si>
  <si>
    <t>Deposits grew 44% in 2025 to $37.5B. But half of 2026 has already happened: deposits reached $45.5B by June 30, up 21% in six months alone. If the second half adds a similar amount, full-year growth lands near 38-40%. Management is deliberately funding loans on the balance sheet to lock in visible future interest income, which keeps deposit gathering a priority. I use 38% to allow for slight second-half deceleration as the base grows.</t>
  </si>
  <si>
    <t>Loan growth rate</t>
  </si>
  <si>
    <t>SoFi's loan book grew 26% in just the first six months of 2026, from $38.0B to $47.9B, after growing 38% in all of 2025. Management is deliberately keeping more loans on its own books instead of selling them to partners, because loans it holds generate predictable interest income for years. I use 40% for the full year. Note that loans are growing faster than deposits, so SoFi is borrowing to cover the difference, its debt rose from $1.8B to $3.3B in the same six months.</t>
  </si>
  <si>
    <t>SoFi's margin has been remarkably stable (5.80% in 2024, 5.85% in 2025), and is rising in 2026: 5.94% in the first half and 5.98% in Q2, up from 5.86% a year earlier. Two things support it. Management now expects 1-2 rate hikes in 2026 rather than the cuts they originally assumed, which helps the rates SoFi earns on loans. And the CFO has said they expect margin to stay above 5% for the foreseeable future.</t>
  </si>
  <si>
    <t>Noninterest income growth</t>
  </si>
  <si>
    <t>Noninterest income grew 37% in the first half of 2026 (actual, per Q2 release), versus 45% for full-year 2025. I assume modest deceleration in the second half as the base scales, giving 35% for the full year, consistent with management's raised guidance of 32-35% total revenue growth.</t>
  </si>
  <si>
    <t>Noninterest expense growth</t>
  </si>
  <si>
    <t>SoFi's costs grew 33% in the first half of 2026, faster than the 27% in 2025, because management is spending heavily on new products launched this year, big business banking, small business loans, crypto, and SoFi Plus. The CFO said they'd rather invest in growth now than report higher profits, which is why they raised their revenue target but kept their profit target unchanged. Importantly, costs are still growing slower than revenue (33% vs 43%), so the company is getting more profitable, not less.</t>
  </si>
  <si>
    <t>Provision as % of loans</t>
  </si>
  <si>
    <t>SoFi's provision expense was only $30M in 2025 against a $38B loan book, which looks impossibly low for consumer lending. The reason is how the loans are recorded. Most of SoFi's loans are carried at their current market value and re-priced every quarter, so expected losses are already reflected in the loan's value and never appear as a separate expense. Only about $1.3B of the $47.9B loan book is recorded the other way, where losses do run through this line. That's why the number is so small. SoFi's actual credit losses show up in its charge-off figures instead: personal loans were charged off at 2.62% in Q2 2026, an improvement from 2.83% a year earlier</t>
  </si>
  <si>
    <t>Effective tax rate</t>
  </si>
  <si>
    <t>22%. SoFi's management said they expect to pay about 22% of their profits in taxes for 2026, higher than they originally planned. I use their number instead of looking at what they paid in past years, because those years were distorted by a one-time tax benefit in 2024 that made their tax rate look artificially low. I keep 22% for 2027 and 2028 since there's no reason to expect it to change.</t>
  </si>
  <si>
    <t>DISCOUNT RATE INPUTS</t>
  </si>
  <si>
    <t>Risk-free rate (10-yr UST)</t>
  </si>
  <si>
    <t>FRED DGS10, retrieved Aug 10 2026</t>
  </si>
  <si>
    <t>Equity risk premium</t>
  </si>
  <si>
    <t>Damodaran implied ERP, start of 2026 (pages.stern.nyu.edu/adamodar)</t>
  </si>
  <si>
    <t>Beta</t>
  </si>
  <si>
    <t>Yahoo Finance, 5-year monthly. Published betas range ~1.8-2.6 by methodology.</t>
  </si>
  <si>
    <t>Cost of equity</t>
  </si>
  <si>
    <t>Terminal growth rate</t>
  </si>
  <si>
    <t>Long-run nominal GDP growth/  terminal growth cap</t>
  </si>
  <si>
    <t>Note: for a bank, value equity directly (cost of equity), not the whole firm via WACC.</t>
  </si>
  <si>
    <t>Debt is a bank's raw material, not its financing, which is why this model values equity directly rather than the firm.</t>
  </si>
  <si>
    <t>TAB 3: PROJECTED FINANCIALS</t>
  </si>
  <si>
    <t>Every cell is a formula. Base year links to Tab 1, growth comes from Tab 2. Nothing is typed here.</t>
  </si>
  <si>
    <t>FY2025A</t>
  </si>
  <si>
    <t>How it's built</t>
  </si>
  <si>
    <t>BALANCE SHEET DRIVERS</t>
  </si>
  <si>
    <t>Prior year x (1 + deposit growth), Tab 2 row 6</t>
  </si>
  <si>
    <t>Total loans (period end)</t>
  </si>
  <si>
    <t>Prior year x (1 + loan growth), Tab 2 row 7</t>
  </si>
  <si>
    <t>Average interest-earning assets</t>
  </si>
  <si>
    <t>Grows with loans. 2025A actual from Q2'26 release, Table 4, p.23</t>
  </si>
  <si>
    <t>INCOME STATEMENT</t>
  </si>
  <si>
    <t>Average interest-earning assets x net interest margin</t>
  </si>
  <si>
    <t>Prior year x (1 + noninterest income growth)</t>
  </si>
  <si>
    <t>Net interest income + noninterest income</t>
  </si>
  <si>
    <t>Total loans x provision rate</t>
  </si>
  <si>
    <t>Prior year x (1 + expense growth)</t>
  </si>
  <si>
    <t>Pre-tax income</t>
  </si>
  <si>
    <t>Revenue less provision less expense</t>
  </si>
  <si>
    <t>Income tax expense</t>
  </si>
  <si>
    <t>Pre-tax income x effective tax rate</t>
  </si>
  <si>
    <t>Pre-tax income less tax</t>
  </si>
  <si>
    <t>CHECKS: these should hold after any change to an assumption</t>
  </si>
  <si>
    <t>Revenue growth</t>
  </si>
  <si>
    <t>Blank for 2025A: needs 2024 revenue, which is on Tab 1, not this tab.</t>
  </si>
  <si>
    <t>Net income margin</t>
  </si>
  <si>
    <t>Expense growth vs revenue growth</t>
  </si>
  <si>
    <t>Negative = costs growing slower than revenue = margins expanding</t>
  </si>
  <si>
    <t>Return on tangible common equity</t>
  </si>
  <si>
    <t>Blank for 2025A: needs beginning-2025 tangible book value, which the model does not carry.</t>
  </si>
  <si>
    <t>GUIDANCE CHECK: does the model agree with management?</t>
  </si>
  <si>
    <t>Model total net revenue, 2026E</t>
  </si>
  <si>
    <t>Management guidance, adj. net revenue (high end)</t>
  </si>
  <si>
    <t>Q2'26 release, p.9: $4.75bn-$4.85bn adjusted net revenue</t>
  </si>
  <si>
    <t>Model vs guidance</t>
  </si>
  <si>
    <t>If the model runs well above guidance, an assumption is too aggressive.</t>
  </si>
  <si>
    <t>Model revenue CAGR, 2025A-2028E</t>
  </si>
  <si>
    <t>Compound annual growth rate implied by the three-year forecast.</t>
  </si>
  <si>
    <t>Management medium-term target</t>
  </si>
  <si>
    <t>Q4'25 release, p.9: at least 30% compound adj. net revenue growth, 2025 to 2028.</t>
  </si>
  <si>
    <t>Model vs medium-term target</t>
  </si>
  <si>
    <t>Near zero = the forecast tracks management's own medium-term plan.</t>
  </si>
  <si>
    <t>There is no annual guidance for 2027 or 2028, management gives only a 2026 figure and a three year compound target. The CAGR test above is therefore the correct check for the later years, not a year-by-year comparison.</t>
  </si>
  <si>
    <t>TAB 4: VALUATION (Residual Income)</t>
  </si>
  <si>
    <t>A standard DCF does not work on a bank: a growing lender consumes cash, so free cash flow is negative when the business is doing well. This values the equity directly, asking whether SoFi earns more than its cost of equity on the book value it holds. Cells marked n/a are point-in-time values (a share price, a discount rate) that do not vary by forecast year, they are not missing data.</t>
  </si>
  <si>
    <t>As of Aug 10, 2026</t>
  </si>
  <si>
    <t>Note</t>
  </si>
  <si>
    <t>MARKET DATA AS OF AUGUST 10, 2026</t>
  </si>
  <si>
    <t>Share price</t>
  </si>
  <si>
    <t>n/a</t>
  </si>
  <si>
    <t>Closing price, Aug 10 2026</t>
  </si>
  <si>
    <t>Diluted shares outstanding (000s)</t>
  </si>
  <si>
    <t>Market capitalisation</t>
  </si>
  <si>
    <t>Price x shares</t>
  </si>
  <si>
    <t>Tangible book value (current)</t>
  </si>
  <si>
    <t>Q2'26 release, p.19 (June 30, 2026)</t>
  </si>
  <si>
    <t>Tangible book value per share</t>
  </si>
  <si>
    <t>Q2'26 book. The residual income build starts from year-end 2025 book ($6.90/share), so the residual income value is struck at 1 Jan 2026.</t>
  </si>
  <si>
    <t>Price / tangible book value</t>
  </si>
  <si>
    <t>What the market pays per dollar of book equity</t>
  </si>
  <si>
    <t>COST OF EQUITY</t>
  </si>
  <si>
    <t>Risk-free rate</t>
  </si>
  <si>
    <t>CAPM. For a bank, discount at cost of equity, never WACC.</t>
  </si>
  <si>
    <t>RESIDUAL INCOME</t>
  </si>
  <si>
    <t>Beginning tangible book value</t>
  </si>
  <si>
    <t>Dec 31, 2025 tangible book value, the model's starting point (Q4'25 release, p.19)</t>
  </si>
  <si>
    <t>Equity charge (beginning TBV x cost of equity)</t>
  </si>
  <si>
    <t>Residual income</t>
  </si>
  <si>
    <t>Profit above (or below) what shareholders require. Negative = not yet earning its cost of equity.</t>
  </si>
  <si>
    <t>Ending tangible book value</t>
  </si>
  <si>
    <t>No dividend, so book value grows by retained earnings.</t>
  </si>
  <si>
    <t>Simplification: assumes full retention with no share issuance. Share count rose 1.271bn to 1.290bn in H1 2026, so per-share book grows slower in reality.</t>
  </si>
  <si>
    <t>Discount period</t>
  </si>
  <si>
    <t>Discount factor</t>
  </si>
  <si>
    <t>PV of residual income</t>
  </si>
  <si>
    <t>TERMINAL VALUE</t>
  </si>
  <si>
    <t>Terminal ROTCE</t>
  </si>
  <si>
    <t>Low end of management's 20-30% long-term target. A judgment, not a derivation.</t>
  </si>
  <si>
    <t>Terminal residual income</t>
  </si>
  <si>
    <t>Ending TBV x (terminal ROTCE - cost of equity)</t>
  </si>
  <si>
    <t>Terminal value at end of 2028</t>
  </si>
  <si>
    <t>Perpetuity: terminal RI / (cost of equity - g)</t>
  </si>
  <si>
    <t>PV of terminal value</t>
  </si>
  <si>
    <t>Discounted back three years</t>
  </si>
  <si>
    <t>VALUE PER SHARE</t>
  </si>
  <si>
    <t>Beginning tangible book value (Dec 2025)</t>
  </si>
  <si>
    <t>PV of residual income, 2026-2028</t>
  </si>
  <si>
    <t>Equity value</t>
  </si>
  <si>
    <t>Value per share</t>
  </si>
  <si>
    <t>Current share price</t>
  </si>
  <si>
    <t>Upside / (downside)</t>
  </si>
  <si>
    <t>CROSS-CHECK: justified price / tangible book value</t>
  </si>
  <si>
    <t>Justified P/TBV at terminal ROTCE</t>
  </si>
  <si>
    <t>(ROTCE - g) / (cost of equity - g). The standard bank multiple formula.</t>
  </si>
  <si>
    <t>Implied price per share</t>
  </si>
  <si>
    <t>Justified multiple x tangible book per share</t>
  </si>
  <si>
    <t>REVERSE TEST: what is the market assuming?</t>
  </si>
  <si>
    <t>Current P/TBV</t>
  </si>
  <si>
    <t>ROTCE implied by market price</t>
  </si>
  <si>
    <t>WHERE THE VALUE COMES FROM: the model's biggest vulnerability</t>
  </si>
  <si>
    <t>Residual income is negative in all three forecast years, so the explicit forecast period SUBTRACTS value. Every dollar of premium over book value rests on the terminal ROTCE assumption.</t>
  </si>
  <si>
    <t>Terminal value as % of equity value</t>
  </si>
  <si>
    <t>Book value per share (no terminal value)</t>
  </si>
  <si>
    <t>Value per share (with terminal value)</t>
  </si>
  <si>
    <t>Premium attributable to terminal assumption</t>
  </si>
  <si>
    <t>TERMINAL ROTCE SENSITIVITY: the whole thesis in one row</t>
  </si>
  <si>
    <t>vs market price</t>
  </si>
  <si>
    <t>The stock is only worth today's price if SoFi eventually earns roughly 29% on tangible equity in perpetuity. My forecast reaches 13.3% by 2028. That gap is the investment case.</t>
  </si>
  <si>
    <t>BANK COMPARABLES</t>
  </si>
  <si>
    <t>Banks are valued on book value and returns on equity, not revenue multiples.</t>
  </si>
  <si>
    <t>Three metrics: what the market pays per dollar of book, what the company earns on it, and how fast it grows.</t>
  </si>
  <si>
    <t>Metric</t>
  </si>
  <si>
    <t>Ally (ALLY)</t>
  </si>
  <si>
    <t>Capital One (COF)</t>
  </si>
  <si>
    <t>Synchrony (SYF)</t>
  </si>
  <si>
    <t>Happen (HAPN)
(ex-LendingClub)</t>
  </si>
  <si>
    <t>Peer median</t>
  </si>
  <si>
    <t>SoFi</t>
  </si>
  <si>
    <t>P/TBV = price / tangible book per share. ALLY $43.72/$42.12; COF $217.76/$105.21; SYF $78.59/$42.01 (Aug 7 2026). HAPN $19.37/$12.49; cross-checks to 1.54x using Q2'26 ROTCE-derived book, so ~1.55x either way.</t>
  </si>
  <si>
    <t>All REPORTED, Q2'26 releases: ALLY core 11.8%; COF 18.04% (Table 15, Reconciliation of Non-GAAP Measures); SYF 25.2%; HAPN 15.9%. None derived.</t>
  </si>
  <si>
    <t>Revenue growth (2026E)</t>
  </si>
  <si>
    <t>Q2'26 YoY: COF total net revenue +27%; SYF revenue +2%; ALLY adj. net revenue +10%; HAPN +11.6% TTM.</t>
  </si>
  <si>
    <t>Implied SoFi value per share (peer median P/TBV x SoFi TBVPS)</t>
  </si>
  <si>
    <t>FINTECH COMPARABLES</t>
  </si>
  <si>
    <t>Growth companies are valued on revenue multiples and margins, not book value.</t>
  </si>
  <si>
    <t>Three metrics: what the market pays per dollar of revenue, how fast revenue grows, and how profitable it is.</t>
  </si>
  <si>
    <t>Block (XYZ)</t>
  </si>
  <si>
    <t>PayPal (PYPL)</t>
  </si>
  <si>
    <t>Robinhood (HOOD)</t>
  </si>
  <si>
    <t>Nu Holdings (NU)</t>
  </si>
  <si>
    <t>Price / sales (2026E)</t>
  </si>
  <si>
    <t>P/S = market cap / TTM revenue, all stockanalysis.com Aug 10 2026. XYZ 47.44/25.04; PYPL 37.50/33.73; HOOD 84.95/4.93; NU 67.00/7.59.</t>
  </si>
  <si>
    <t>Net income margin (TTM)</t>
  </si>
  <si>
    <t>Implied SoFi value per share (peer median P/S x SoFi revenue per share)</t>
  </si>
  <si>
    <t>TAB 7: SENSITIVITY</t>
  </si>
  <si>
    <t>Value per share under different long-run ROTCE and cost of equity assumptions.</t>
  </si>
  <si>
    <t>Value per share = ((ROTCE - g) / (cost of equity - g)) x tangible book value per share</t>
  </si>
  <si>
    <t>Terminal ROTCE  \  Cost of equity</t>
  </si>
  <si>
    <t>The model's cost of equity is 14.00% (beta 2.20)</t>
  </si>
  <si>
    <t>Base case value per share</t>
  </si>
  <si>
    <t>At 20% terminal ROTCE and 14.00% cost of equity, the grid gives $11.74; the full residual income model gives $10.18.</t>
  </si>
  <si>
    <t>How to read this: cost of equity across the top, long-run ROTCE down the side. Cells above the current share price imply upside.</t>
  </si>
  <si>
    <t>THE TWO LENSES: this is the answer to the question</t>
  </si>
  <si>
    <t>The bank versus fintech question is not rhetorical: it is the beta. A bank's cost of equity is low, so its future profits are worth more today; a fintech's is high, so the same profits are worth less.</t>
  </si>
  <si>
    <t>Bank lens</t>
  </si>
  <si>
    <t>Fintech lens</t>
  </si>
  <si>
    <t>Beta assumption</t>
  </si>
  <si>
    <t>Justified P/TBV</t>
  </si>
  <si>
    <t>Read this way: if SoFi is a bank, its cost of equity should look like a bank's (1.2 beta) and the stock is roughly fairly valued. If it is a high-beta growth fintech, its observed 2.2 beta applies and the stock is worth about half the market price. The full residual income model on Tab 4 gives $19.77 and $10.18 respectively, same conclusion, small method difference.</t>
  </si>
  <si>
    <t>SCENARIO ANALYSIS: bear / base / bull</t>
  </si>
  <si>
    <t>Each case changes three things together: how risky the market judges SoFi (beta), how profitable it becomes long term (terminal ROTCE), and whether execution beats or misses my base forecast.</t>
  </si>
  <si>
    <t>Bear</t>
  </si>
  <si>
    <t>Base</t>
  </si>
  <si>
    <t>Bull</t>
  </si>
  <si>
    <t>Terminal growth</t>
  </si>
  <si>
    <t>Net income vs base forecast</t>
  </si>
  <si>
    <t>Value per share is the full residual income model re-run under each case, not a shortcut formula. To reproduce: set beta and terminal ROTCE on Tab 2 / Tab 4 and read Tab 4 value per share.</t>
  </si>
  <si>
    <t>WHAT EACH CASE ASSUMES</t>
  </si>
  <si>
    <t>Deposit competition intensifies and rate cuts resume, compressing margin. Expense growth stays at H1's 33% as new-product investment continues without payback. SoFi stays classified as a high-beta fintech. Long-run ROTCE settles at 14%, below every bank peer except Ally.</t>
  </si>
  <si>
    <t>Management delivers its stated plan: ~30% revenue CAGR to 2028, margin near 5.95%, expenses decelerating below revenue. Long-run ROTCE reaches the low end of the 20-30% target. Beta stays where the market currently prices it.</t>
  </si>
  <si>
    <t>The Loan Platform Business scales, generating fee income without consuming balance sheet, so returns rise on a smaller equity base. Operating leverage lands early and the 25-30% net income margin target is hit by 2028. As the deposit franchise matures, beta compresses toward bank peers and the discount rate falls, the single biggest driver of the upside.</t>
  </si>
  <si>
    <t>The spread from $5.03 to $25.47 is driven mainly by beta, not by operating performance. That is the point of the thesis: the classification question is worth more than the execution question.</t>
  </si>
  <si>
    <t>Net income margin replaces adj. EBITDA margin: EBITDA is not meaningful for Nu (a bank, where interest is an operating cost) and each company defines adjusted EBITDA differently. Net margin is computed the same way for all four. Source: stockanalysis.com, Aug 2026.</t>
  </si>
  <si>
    <t>Revenue growth = TTM year-over-year (YoY), same source. PYPL is Q2'26 YoY.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</si>
</sst>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quot;($&quot;#,##0\);\-"/>
    <numFmt numFmtId="165" formatCode="0.00%;\(0.00%\)"/>
    <numFmt numFmtId="166" formatCode="0.0%;\(0.0%\)"/>
    <numFmt numFmtId="167" formatCode="\+0.0%;\-0.0%"/>
    <numFmt numFmtId="168" formatCode="\$0.00;&quot;($&quot;0.00\)"/>
    <numFmt numFmtId="169" formatCode="#,##0;\(#,##0\)"/>
    <numFmt numFmtId="170" formatCode="0.00\x"/>
    <numFmt numFmtId="171" formatCode="\$#,##0;&quot;($&quot;#,##0\)"/>
    <numFmt numFmtId="172" formatCode="0%;\(0%\)"/>
  </numFmts>
  <fonts count="23" x14ac:knownFonts="1">
    <font>
      <sz val="11"/>
      <color theme="1"/>
      <name val="Calibri"/>
      <family val="2"/>
      <charset val="1"/>
    </font>
    <font>
      <b/>
      <sz val="15"/>
      <name val="Arial"/>
      <charset val="1"/>
    </font>
    <font>
      <sz val="10"/>
      <color rgb="FF595959"/>
      <name val="Arial"/>
      <charset val="1"/>
    </font>
    <font>
      <b/>
      <sz val="10"/>
      <name val="Arial"/>
      <charset val="1"/>
    </font>
    <font>
      <sz val="10"/>
      <name val="Arial"/>
      <charset val="1"/>
    </font>
    <font>
      <sz val="10"/>
      <color rgb="FF0000FF"/>
      <name val="Arial"/>
      <charset val="1"/>
    </font>
    <font>
      <sz val="10"/>
      <color rgb="FF008000"/>
      <name val="Arial"/>
      <charset val="1"/>
    </font>
    <font>
      <i/>
      <sz val="9"/>
      <color rgb="FF595959"/>
      <name val="Arial"/>
      <charset val="1"/>
    </font>
    <font>
      <b/>
      <sz val="13"/>
      <name val="Arial"/>
      <charset val="1"/>
    </font>
    <font>
      <b/>
      <sz val="11"/>
      <color rgb="FFFFFFFF"/>
      <name val="Arial"/>
      <charset val="1"/>
    </font>
    <font>
      <b/>
      <sz val="12"/>
      <name val="Arial"/>
      <charset val="1"/>
    </font>
    <font>
      <b/>
      <sz val="10"/>
      <name val="Arial"/>
      <family val="2"/>
      <charset val="1"/>
    </font>
    <font>
      <sz val="11"/>
      <name val="Calibri"/>
      <family val="2"/>
      <charset val="1"/>
    </font>
    <font>
      <b/>
      <sz val="11"/>
      <color theme="0"/>
      <name val="Arial"/>
      <family val="2"/>
      <charset val="1"/>
    </font>
    <font>
      <i/>
      <sz val="9"/>
      <name val="Arial"/>
      <family val="2"/>
      <charset val="1"/>
    </font>
    <font>
      <b/>
      <sz val="11"/>
      <color rgb="FF0E6B4A"/>
      <name val="Arial"/>
      <charset val="1"/>
    </font>
    <font>
      <b/>
      <sz val="10"/>
      <color theme="1"/>
      <name val="Arial"/>
      <family val="2"/>
      <charset val="1"/>
    </font>
    <font>
      <sz val="10"/>
      <color rgb="FFBFBFBF"/>
      <name val="Arial"/>
      <charset val="1"/>
    </font>
    <font>
      <i/>
      <sz val="9"/>
      <color rgb="FF595959"/>
      <name val="Arial"/>
      <family val="2"/>
      <charset val="1"/>
    </font>
    <font>
      <sz val="10"/>
      <name val="Arial"/>
      <family val="2"/>
      <charset val="1"/>
    </font>
    <font>
      <b/>
      <sz val="12"/>
      <color rgb="FF0E6B4A"/>
      <name val="Arial"/>
      <charset val="1"/>
    </font>
    <font>
      <b/>
      <sz val="12"/>
      <color theme="1"/>
      <name val="Arial"/>
      <family val="2"/>
      <charset val="1"/>
    </font>
    <font>
      <b/>
      <sz val="12"/>
      <name val="Arial"/>
      <family val="2"/>
      <charset val="1"/>
    </font>
  </fonts>
  <fills count="6">
    <fill>
      <patternFill patternType="none"/>
    </fill>
    <fill>
      <patternFill patternType="gray125"/>
    </fill>
    <fill>
      <patternFill patternType="solid">
        <fgColor rgb="FFFFFF00"/>
        <bgColor rgb="FFFFFF00"/>
      </patternFill>
    </fill>
    <fill>
      <patternFill patternType="solid">
        <fgColor rgb="FF1F3864"/>
        <bgColor rgb="FF333333"/>
      </patternFill>
    </fill>
    <fill>
      <patternFill patternType="solid">
        <fgColor rgb="FFF2F2F2"/>
        <bgColor rgb="FFE4F1EA"/>
      </patternFill>
    </fill>
    <fill>
      <patternFill patternType="solid">
        <fgColor rgb="FFE4F1EA"/>
        <bgColor rgb="FFE8E8E8"/>
      </patternFill>
    </fill>
  </fills>
  <borders count="7">
    <border>
      <left/>
      <right/>
      <top/>
      <bottom/>
      <diagonal/>
    </border>
    <border>
      <left style="thin">
        <color rgb="FFBFBFBF"/>
      </left>
      <right style="thin">
        <color rgb="FFBFBFBF"/>
      </right>
      <top style="thin">
        <color rgb="FFBFBFBF"/>
      </top>
      <bottom style="thin">
        <color rgb="FFBFBFBF"/>
      </bottom>
      <diagonal/>
    </border>
    <border>
      <left/>
      <right/>
      <top/>
      <bottom style="thin">
        <color theme="0" tint="-0.34998626667073579"/>
      </bottom>
      <diagonal/>
    </border>
    <border>
      <left style="thin">
        <color rgb="FFBFBFBF"/>
      </left>
      <right style="thin">
        <color rgb="FFBFBFBF"/>
      </right>
      <top/>
      <bottom style="thin">
        <color rgb="FFBFBFBF"/>
      </bottom>
      <diagonal/>
    </border>
    <border>
      <left style="thin">
        <color rgb="FFBFBFBF"/>
      </left>
      <right style="thin">
        <color rgb="FFBFBFBF"/>
      </right>
      <top style="thin">
        <color rgb="FFBFBFBF"/>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rgb="FFE8E8E8"/>
      </left>
      <right style="thin">
        <color rgb="FFE8E8E8"/>
      </right>
      <top style="thin">
        <color rgb="FFE8E8E8"/>
      </top>
      <bottom style="thin">
        <color rgb="FFE8E8E8"/>
      </bottom>
      <diagonal/>
    </border>
  </borders>
  <cellStyleXfs count="1">
    <xf numFmtId="0" fontId="0" fillId="0" borderId="0"/>
  </cellStyleXfs>
  <cellXfs count="78">
    <xf numFmtId="0" fontId="0" fillId="0" borderId="0" xfId="0"/>
    <xf numFmtId="0" fontId="18" fillId="0" borderId="0" xfId="0" applyFont="1" applyAlignment="1">
      <alignment horizontal="center" vertical="top" wrapText="1"/>
    </xf>
    <xf numFmtId="0" fontId="1" fillId="0" borderId="0" xfId="0" applyFont="1"/>
    <xf numFmtId="0" fontId="2" fillId="0" borderId="0" xfId="0" applyFont="1"/>
    <xf numFmtId="0" fontId="3" fillId="0" borderId="0" xfId="0" applyFont="1"/>
    <xf numFmtId="0" fontId="4" fillId="0" borderId="0" xfId="0" applyFont="1"/>
    <xf numFmtId="0" fontId="5" fillId="2" borderId="0" xfId="0" applyFont="1" applyFill="1"/>
    <xf numFmtId="0" fontId="6" fillId="0" borderId="0" xfId="0" applyFont="1"/>
    <xf numFmtId="0" fontId="7" fillId="0" borderId="0" xfId="0" applyFont="1"/>
    <xf numFmtId="10" fontId="0" fillId="0" borderId="0" xfId="0" applyNumberFormat="1"/>
    <xf numFmtId="0" fontId="8" fillId="0" borderId="0" xfId="0" applyFont="1"/>
    <xf numFmtId="0" fontId="9" fillId="3" borderId="0" xfId="0" applyFont="1" applyFill="1" applyAlignment="1">
      <alignment horizontal="center"/>
    </xf>
    <xf numFmtId="0" fontId="3" fillId="4" borderId="0" xfId="0" applyFont="1" applyFill="1"/>
    <xf numFmtId="0" fontId="0" fillId="4" borderId="0" xfId="0" applyFill="1"/>
    <xf numFmtId="164" fontId="5" fillId="2" borderId="1" xfId="0" applyNumberFormat="1" applyFont="1" applyFill="1" applyBorder="1"/>
    <xf numFmtId="0" fontId="7" fillId="0" borderId="1" xfId="0" applyFont="1" applyBorder="1"/>
    <xf numFmtId="164" fontId="4" fillId="0" borderId="1" xfId="0" applyNumberFormat="1" applyFont="1" applyBorder="1"/>
    <xf numFmtId="165" fontId="5" fillId="2" borderId="1" xfId="0" applyNumberFormat="1" applyFont="1" applyFill="1" applyBorder="1"/>
    <xf numFmtId="166" fontId="5" fillId="2" borderId="1" xfId="0" applyNumberFormat="1" applyFont="1" applyFill="1" applyBorder="1"/>
    <xf numFmtId="164" fontId="5" fillId="0" borderId="0" xfId="0" applyNumberFormat="1" applyFont="1"/>
    <xf numFmtId="0" fontId="10" fillId="0" borderId="0" xfId="0" applyFont="1"/>
    <xf numFmtId="164" fontId="5" fillId="0" borderId="1" xfId="0" applyNumberFormat="1" applyFont="1" applyBorder="1"/>
    <xf numFmtId="166" fontId="4" fillId="0" borderId="1" xfId="0" applyNumberFormat="1" applyFont="1" applyBorder="1"/>
    <xf numFmtId="166" fontId="5" fillId="0" borderId="1" xfId="0" applyNumberFormat="1" applyFont="1" applyBorder="1"/>
    <xf numFmtId="0" fontId="3" fillId="0" borderId="0" xfId="0" applyFont="1" applyAlignment="1">
      <alignment horizontal="center"/>
    </xf>
    <xf numFmtId="166" fontId="11" fillId="0" borderId="2" xfId="0" applyNumberFormat="1" applyFont="1" applyBorder="1" applyAlignment="1">
      <alignment horizontal="center"/>
    </xf>
    <xf numFmtId="166" fontId="4" fillId="0" borderId="3" xfId="0" applyNumberFormat="1" applyFont="1" applyBorder="1"/>
    <xf numFmtId="0" fontId="12" fillId="0" borderId="0" xfId="0" applyFont="1" applyAlignment="1">
      <alignment wrapText="1"/>
    </xf>
    <xf numFmtId="165" fontId="9" fillId="3" borderId="0" xfId="0" applyNumberFormat="1" applyFont="1" applyFill="1" applyAlignment="1">
      <alignment horizontal="center"/>
    </xf>
    <xf numFmtId="0" fontId="13" fillId="3" borderId="0" xfId="0" applyFont="1" applyFill="1" applyAlignment="1">
      <alignment horizontal="center" wrapText="1"/>
    </xf>
    <xf numFmtId="0" fontId="14" fillId="0" borderId="1" xfId="0" applyFont="1" applyBorder="1" applyAlignment="1">
      <alignment wrapText="1"/>
    </xf>
    <xf numFmtId="0" fontId="14" fillId="0" borderId="4" xfId="0" applyFont="1" applyBorder="1" applyAlignment="1">
      <alignment wrapText="1"/>
    </xf>
    <xf numFmtId="0" fontId="0" fillId="0" borderId="5" xfId="0" applyBorder="1" applyAlignment="1">
      <alignment wrapText="1"/>
    </xf>
    <xf numFmtId="0" fontId="14" fillId="0" borderId="3" xfId="0" applyFont="1" applyBorder="1" applyAlignment="1">
      <alignment wrapText="1"/>
    </xf>
    <xf numFmtId="0" fontId="7" fillId="0" borderId="0" xfId="0" applyFont="1" applyAlignment="1">
      <alignment wrapText="1"/>
    </xf>
    <xf numFmtId="2" fontId="5" fillId="2" borderId="1" xfId="0" applyNumberFormat="1" applyFont="1" applyFill="1" applyBorder="1"/>
    <xf numFmtId="165" fontId="4" fillId="2" borderId="1" xfId="0" applyNumberFormat="1" applyFont="1" applyFill="1" applyBorder="1"/>
    <xf numFmtId="164" fontId="6" fillId="0" borderId="1" xfId="0" applyNumberFormat="1" applyFont="1" applyBorder="1"/>
    <xf numFmtId="167" fontId="15" fillId="5" borderId="1" xfId="0" applyNumberFormat="1" applyFont="1" applyFill="1" applyBorder="1"/>
    <xf numFmtId="0" fontId="16" fillId="4" borderId="0" xfId="0" applyFont="1" applyFill="1"/>
    <xf numFmtId="168" fontId="5" fillId="2" borderId="1" xfId="0" applyNumberFormat="1" applyFont="1" applyFill="1" applyBorder="1"/>
    <xf numFmtId="0" fontId="17" fillId="0" borderId="6" xfId="0" applyFont="1" applyBorder="1" applyAlignment="1">
      <alignment horizontal="center"/>
    </xf>
    <xf numFmtId="169" fontId="5" fillId="2" borderId="1" xfId="0" applyNumberFormat="1" applyFont="1" applyFill="1" applyBorder="1"/>
    <xf numFmtId="168" fontId="4" fillId="0" borderId="1" xfId="0" applyNumberFormat="1" applyFont="1" applyBorder="1"/>
    <xf numFmtId="0" fontId="18" fillId="0" borderId="0" xfId="0" applyFont="1"/>
    <xf numFmtId="170" fontId="4" fillId="0" borderId="1" xfId="0" applyNumberFormat="1" applyFont="1" applyBorder="1"/>
    <xf numFmtId="165" fontId="6" fillId="0" borderId="1" xfId="0" applyNumberFormat="1" applyFont="1" applyBorder="1"/>
    <xf numFmtId="2" fontId="6" fillId="0" borderId="1" xfId="0" applyNumberFormat="1" applyFont="1" applyBorder="1"/>
    <xf numFmtId="2" fontId="4" fillId="0" borderId="1" xfId="0" applyNumberFormat="1" applyFont="1" applyBorder="1"/>
    <xf numFmtId="0" fontId="19" fillId="0" borderId="0" xfId="0" applyFont="1"/>
    <xf numFmtId="168" fontId="20" fillId="5" borderId="1" xfId="0" applyNumberFormat="1" applyFont="1" applyFill="1" applyBorder="1"/>
    <xf numFmtId="166" fontId="20" fillId="5" borderId="1" xfId="0" applyNumberFormat="1" applyFont="1" applyFill="1" applyBorder="1"/>
    <xf numFmtId="0" fontId="11" fillId="4" borderId="0" xfId="0" applyFont="1" applyFill="1"/>
    <xf numFmtId="0" fontId="11" fillId="0" borderId="0" xfId="0" applyFont="1"/>
    <xf numFmtId="0" fontId="21" fillId="0" borderId="0" xfId="0" applyFont="1"/>
    <xf numFmtId="171" fontId="4" fillId="0" borderId="1" xfId="0" applyNumberFormat="1" applyFont="1" applyBorder="1"/>
    <xf numFmtId="172" fontId="5" fillId="2" borderId="1" xfId="0" applyNumberFormat="1" applyFont="1" applyFill="1" applyBorder="1"/>
    <xf numFmtId="166" fontId="0" fillId="0" borderId="1" xfId="0" applyNumberFormat="1" applyBorder="1"/>
    <xf numFmtId="0" fontId="9" fillId="3" borderId="0" xfId="0" applyFont="1" applyFill="1" applyAlignment="1">
      <alignment horizontal="center" wrapText="1"/>
    </xf>
    <xf numFmtId="170" fontId="5" fillId="2" borderId="1" xfId="0" applyNumberFormat="1" applyFont="1" applyFill="1" applyBorder="1"/>
    <xf numFmtId="170" fontId="4" fillId="4" borderId="1" xfId="0" applyNumberFormat="1" applyFont="1" applyFill="1" applyBorder="1"/>
    <xf numFmtId="170" fontId="6" fillId="0" borderId="1" xfId="0" applyNumberFormat="1" applyFont="1" applyBorder="1"/>
    <xf numFmtId="166" fontId="4" fillId="4" borderId="1" xfId="0" applyNumberFormat="1" applyFont="1" applyFill="1" applyBorder="1"/>
    <xf numFmtId="166" fontId="6" fillId="0" borderId="1" xfId="0" applyNumberFormat="1" applyFont="1" applyBorder="1"/>
    <xf numFmtId="168" fontId="3" fillId="5" borderId="1" xfId="0" applyNumberFormat="1" applyFont="1" applyFill="1" applyBorder="1"/>
    <xf numFmtId="168" fontId="0" fillId="0" borderId="1" xfId="0" applyNumberFormat="1" applyBorder="1"/>
    <xf numFmtId="166" fontId="6" fillId="2" borderId="1" xfId="0" applyNumberFormat="1" applyFont="1" applyFill="1" applyBorder="1"/>
    <xf numFmtId="0" fontId="22" fillId="0" borderId="0" xfId="0" applyFont="1"/>
    <xf numFmtId="0" fontId="9" fillId="3" borderId="0" xfId="0" applyFont="1" applyFill="1"/>
    <xf numFmtId="166" fontId="3" fillId="4" borderId="0" xfId="0" applyNumberFormat="1" applyFont="1" applyFill="1"/>
    <xf numFmtId="0" fontId="5" fillId="2" borderId="0" xfId="0" applyFont="1" applyFill="1" applyAlignment="1">
      <alignment horizontal="center"/>
    </xf>
    <xf numFmtId="2" fontId="5" fillId="2" borderId="1" xfId="0" applyNumberFormat="1" applyFont="1" applyFill="1" applyBorder="1" applyAlignment="1">
      <alignment horizontal="right"/>
    </xf>
    <xf numFmtId="165" fontId="4" fillId="0" borderId="1" xfId="0" applyNumberFormat="1" applyFont="1" applyBorder="1" applyAlignment="1">
      <alignment horizontal="right"/>
    </xf>
    <xf numFmtId="166" fontId="5" fillId="2" borderId="1" xfId="0" applyNumberFormat="1" applyFont="1" applyFill="1" applyBorder="1" applyAlignment="1">
      <alignment horizontal="right"/>
    </xf>
    <xf numFmtId="172" fontId="5" fillId="2" borderId="1" xfId="0" applyNumberFormat="1" applyFont="1" applyFill="1" applyBorder="1" applyAlignment="1">
      <alignment horizontal="right"/>
    </xf>
    <xf numFmtId="168" fontId="20" fillId="5" borderId="1" xfId="0" applyNumberFormat="1" applyFont="1" applyFill="1" applyBorder="1" applyAlignment="1">
      <alignment horizontal="right"/>
    </xf>
    <xf numFmtId="168" fontId="4" fillId="0" borderId="1" xfId="0" applyNumberFormat="1" applyFont="1" applyBorder="1" applyAlignment="1">
      <alignment horizontal="right"/>
    </xf>
    <xf numFmtId="166" fontId="20" fillId="5" borderId="1" xfId="0" applyNumberFormat="1" applyFont="1" applyFill="1" applyBorder="1" applyAlignment="1">
      <alignment horizontal="right"/>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E6B4A"/>
      <rgbColor rgb="FFBFBFBF"/>
      <rgbColor rgb="FF808080"/>
      <rgbColor rgb="FF9999FF"/>
      <rgbColor rgb="FF993366"/>
      <rgbColor rgb="FFF2F2F2"/>
      <rgbColor rgb="FFE4F1EA"/>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8E8E8"/>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A6A6A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32"/>
  <sheetViews>
    <sheetView showGridLines="0" topLeftCell="A17" zoomScaleNormal="100" workbookViewId="0">
      <selection activeCell="B3" sqref="B3"/>
    </sheetView>
  </sheetViews>
  <sheetFormatPr defaultColWidth="8.6640625" defaultRowHeight="14.4" x14ac:dyDescent="0.3"/>
  <cols>
    <col min="1" max="1" width="4" customWidth="1"/>
    <col min="2" max="2" width="30" customWidth="1"/>
    <col min="3" max="3" width="78" customWidth="1"/>
  </cols>
  <sheetData>
    <row r="2" spans="2:3" ht="16.5" customHeight="1" x14ac:dyDescent="0.35">
      <c r="B2" s="2" t="s">
        <v>0</v>
      </c>
    </row>
    <row r="3" spans="2:3" ht="14.25" customHeight="1" x14ac:dyDescent="0.3">
      <c r="B3" s="3" t="s">
        <v>1</v>
      </c>
    </row>
    <row r="5" spans="2:3" ht="14.25" customHeight="1" x14ac:dyDescent="0.3">
      <c r="B5" s="4" t="s">
        <v>2</v>
      </c>
      <c r="C5" s="5" t="s">
        <v>3</v>
      </c>
    </row>
    <row r="6" spans="2:3" ht="14.25" customHeight="1" x14ac:dyDescent="0.3">
      <c r="B6" s="4" t="s">
        <v>4</v>
      </c>
      <c r="C6" s="5" t="s">
        <v>5</v>
      </c>
    </row>
    <row r="8" spans="2:3" ht="14.25" customHeight="1" x14ac:dyDescent="0.3">
      <c r="B8" s="4" t="s">
        <v>6</v>
      </c>
      <c r="C8" s="5" t="s">
        <v>7</v>
      </c>
    </row>
    <row r="9" spans="2:3" ht="14.25" customHeight="1" x14ac:dyDescent="0.3">
      <c r="B9" s="6"/>
      <c r="C9" s="5" t="s">
        <v>8</v>
      </c>
    </row>
    <row r="10" spans="2:3" ht="14.25" customHeight="1" x14ac:dyDescent="0.3">
      <c r="B10" s="5"/>
      <c r="C10" s="5" t="s">
        <v>9</v>
      </c>
    </row>
    <row r="11" spans="2:3" ht="14.25" customHeight="1" x14ac:dyDescent="0.3">
      <c r="B11" s="7"/>
    </row>
    <row r="12" spans="2:3" ht="14.25" customHeight="1" x14ac:dyDescent="0.3">
      <c r="B12" s="4" t="s">
        <v>10</v>
      </c>
      <c r="C12" s="5" t="s">
        <v>11</v>
      </c>
    </row>
    <row r="14" spans="2:3" ht="14.25" customHeight="1" x14ac:dyDescent="0.3">
      <c r="B14" s="4" t="s">
        <v>12</v>
      </c>
      <c r="C14" s="5" t="s">
        <v>13</v>
      </c>
    </row>
    <row r="15" spans="2:3" ht="14.25" customHeight="1" x14ac:dyDescent="0.3">
      <c r="B15" s="5"/>
      <c r="C15" s="5" t="s">
        <v>14</v>
      </c>
    </row>
    <row r="16" spans="2:3" ht="14.25" customHeight="1" x14ac:dyDescent="0.3">
      <c r="B16" s="5"/>
      <c r="C16" s="5" t="s">
        <v>15</v>
      </c>
    </row>
    <row r="17" spans="2:3" ht="14.25" customHeight="1" x14ac:dyDescent="0.3">
      <c r="B17" s="5"/>
      <c r="C17" s="5" t="s">
        <v>16</v>
      </c>
    </row>
    <row r="18" spans="2:3" ht="14.25" customHeight="1" x14ac:dyDescent="0.3">
      <c r="B18" s="5"/>
      <c r="C18" s="5" t="s">
        <v>17</v>
      </c>
    </row>
    <row r="19" spans="2:3" ht="14.25" customHeight="1" x14ac:dyDescent="0.3">
      <c r="B19" s="5"/>
      <c r="C19" s="5" t="s">
        <v>18</v>
      </c>
    </row>
    <row r="20" spans="2:3" ht="14.25" customHeight="1" x14ac:dyDescent="0.3">
      <c r="B20" s="5"/>
      <c r="C20" s="5" t="s">
        <v>19</v>
      </c>
    </row>
    <row r="22" spans="2:3" ht="14.25" customHeight="1" x14ac:dyDescent="0.3">
      <c r="B22" s="4" t="s">
        <v>20</v>
      </c>
      <c r="C22" s="5" t="s">
        <v>21</v>
      </c>
    </row>
    <row r="23" spans="2:3" ht="14.25" customHeight="1" x14ac:dyDescent="0.3">
      <c r="B23" s="5"/>
      <c r="C23" s="5" t="s">
        <v>22</v>
      </c>
    </row>
    <row r="24" spans="2:3" ht="14.25" customHeight="1" x14ac:dyDescent="0.3">
      <c r="B24" s="5"/>
    </row>
    <row r="25" spans="2:3" ht="14.25" customHeight="1" x14ac:dyDescent="0.3">
      <c r="B25" s="4" t="s">
        <v>23</v>
      </c>
      <c r="C25" s="5" t="s">
        <v>24</v>
      </c>
    </row>
    <row r="26" spans="2:3" ht="14.25" customHeight="1" x14ac:dyDescent="0.3">
      <c r="B26" s="5"/>
      <c r="C26" s="5" t="s">
        <v>25</v>
      </c>
    </row>
    <row r="28" spans="2:3" ht="14.25" customHeight="1" x14ac:dyDescent="0.3">
      <c r="B28" s="8" t="s">
        <v>26</v>
      </c>
    </row>
    <row r="29" spans="2:3" ht="14.25" customHeight="1" x14ac:dyDescent="0.3">
      <c r="B29" s="5"/>
    </row>
    <row r="30" spans="2:3" ht="14.25" customHeight="1" x14ac:dyDescent="0.3">
      <c r="B30" s="5"/>
    </row>
    <row r="32" spans="2:3" ht="14.25" customHeight="1" x14ac:dyDescent="0.3">
      <c r="B32" s="8"/>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I59"/>
  <sheetViews>
    <sheetView showGridLines="0" topLeftCell="A44" zoomScale="98" zoomScaleNormal="98" workbookViewId="0">
      <selection activeCell="B2" sqref="B2"/>
    </sheetView>
  </sheetViews>
  <sheetFormatPr defaultColWidth="8.6640625" defaultRowHeight="14.4" x14ac:dyDescent="0.3"/>
  <cols>
    <col min="1" max="1" width="2" customWidth="1"/>
    <col min="2" max="2" width="42" customWidth="1"/>
    <col min="3" max="3" width="16" customWidth="1"/>
    <col min="4" max="4" width="21.44140625" customWidth="1"/>
    <col min="5" max="5" width="16" customWidth="1"/>
    <col min="6" max="6" width="44" customWidth="1"/>
    <col min="8" max="9" width="8.6640625" style="9"/>
  </cols>
  <sheetData>
    <row r="2" spans="2:6" ht="16.5" customHeight="1" x14ac:dyDescent="0.3">
      <c r="B2" s="10" t="s">
        <v>27</v>
      </c>
    </row>
    <row r="3" spans="2:6" ht="14.25" customHeight="1" x14ac:dyDescent="0.3">
      <c r="B3" s="8" t="s">
        <v>28</v>
      </c>
    </row>
    <row r="5" spans="2:6" ht="14.25" customHeight="1" x14ac:dyDescent="0.3">
      <c r="B5" s="11" t="s">
        <v>29</v>
      </c>
      <c r="C5" s="11" t="s">
        <v>30</v>
      </c>
      <c r="D5" s="11" t="s">
        <v>31</v>
      </c>
      <c r="E5" s="11" t="s">
        <v>32</v>
      </c>
      <c r="F5" s="11" t="s">
        <v>33</v>
      </c>
    </row>
    <row r="6" spans="2:6" ht="14.25" customHeight="1" x14ac:dyDescent="0.3">
      <c r="B6" s="12" t="s">
        <v>34</v>
      </c>
      <c r="C6" s="13"/>
      <c r="D6" s="13"/>
      <c r="E6" s="13"/>
      <c r="F6" s="13"/>
    </row>
    <row r="7" spans="2:6" ht="14.25" customHeight="1" x14ac:dyDescent="0.3">
      <c r="B7" s="5" t="s">
        <v>35</v>
      </c>
      <c r="C7" s="14">
        <v>1261740</v>
      </c>
      <c r="D7" s="14">
        <v>1716481</v>
      </c>
      <c r="E7" s="14">
        <v>2218956</v>
      </c>
      <c r="F7" s="15"/>
    </row>
    <row r="8" spans="2:6" ht="14.25" customHeight="1" x14ac:dyDescent="0.3">
      <c r="B8" s="5" t="s">
        <v>36</v>
      </c>
      <c r="C8" s="14">
        <v>861049</v>
      </c>
      <c r="D8" s="14">
        <v>958378</v>
      </c>
      <c r="E8" s="14">
        <v>1394398</v>
      </c>
      <c r="F8" s="15"/>
    </row>
    <row r="9" spans="2:6" ht="14.25" customHeight="1" x14ac:dyDescent="0.3">
      <c r="B9" s="4" t="s">
        <v>37</v>
      </c>
      <c r="C9" s="16">
        <f>SUM(C7:C8)</f>
        <v>2122789</v>
      </c>
      <c r="D9" s="16">
        <f>SUM(D7:D8)</f>
        <v>2674859</v>
      </c>
      <c r="E9" s="16">
        <f>SUM(E7:E8)</f>
        <v>3613354</v>
      </c>
      <c r="F9" s="15"/>
    </row>
    <row r="10" spans="2:6" ht="14.25" customHeight="1" x14ac:dyDescent="0.3">
      <c r="B10" s="5" t="s">
        <v>38</v>
      </c>
      <c r="C10" s="14">
        <v>54945</v>
      </c>
      <c r="D10" s="14">
        <v>31712</v>
      </c>
      <c r="E10" s="14">
        <v>30319</v>
      </c>
      <c r="F10" s="15"/>
    </row>
    <row r="11" spans="2:6" ht="14.25" customHeight="1" x14ac:dyDescent="0.3">
      <c r="B11" s="5" t="s">
        <v>39</v>
      </c>
      <c r="C11" s="14">
        <v>2369002</v>
      </c>
      <c r="D11" s="14">
        <v>2409802</v>
      </c>
      <c r="E11" s="14">
        <v>3057178</v>
      </c>
      <c r="F11" s="15"/>
    </row>
    <row r="12" spans="2:6" ht="14.25" customHeight="1" x14ac:dyDescent="0.3">
      <c r="B12" s="5" t="s">
        <v>40</v>
      </c>
      <c r="C12" s="14">
        <v>-300742</v>
      </c>
      <c r="D12" s="14">
        <v>498665</v>
      </c>
      <c r="E12" s="14">
        <v>481320</v>
      </c>
      <c r="F12" s="15"/>
    </row>
    <row r="14" spans="2:6" ht="14.25" customHeight="1" x14ac:dyDescent="0.3">
      <c r="B14" s="12" t="s">
        <v>41</v>
      </c>
      <c r="C14" s="13"/>
      <c r="D14" s="13"/>
      <c r="E14" s="13"/>
      <c r="F14" s="13"/>
    </row>
    <row r="15" spans="2:6" ht="14.25" customHeight="1" x14ac:dyDescent="0.3">
      <c r="B15" s="5" t="s">
        <v>42</v>
      </c>
      <c r="C15" s="14"/>
      <c r="D15" s="14">
        <v>25978204</v>
      </c>
      <c r="E15" s="14">
        <v>37505395</v>
      </c>
      <c r="F15" s="15"/>
    </row>
    <row r="16" spans="2:6" ht="14.25" customHeight="1" x14ac:dyDescent="0.3">
      <c r="B16" s="5" t="s">
        <v>43</v>
      </c>
      <c r="C16" s="14"/>
      <c r="D16" s="14">
        <v>17684892</v>
      </c>
      <c r="E16" s="14">
        <v>22862749</v>
      </c>
      <c r="F16" s="15"/>
    </row>
    <row r="17" spans="2:6" ht="14.25" customHeight="1" x14ac:dyDescent="0.3">
      <c r="B17" s="5" t="s">
        <v>44</v>
      </c>
      <c r="C17" s="14"/>
      <c r="D17" s="14">
        <v>8597368</v>
      </c>
      <c r="E17" s="14">
        <v>13657578</v>
      </c>
      <c r="F17" s="15"/>
    </row>
    <row r="18" spans="2:6" ht="14.25" customHeight="1" x14ac:dyDescent="0.3">
      <c r="B18" s="5" t="s">
        <v>45</v>
      </c>
      <c r="C18" s="14"/>
      <c r="D18" s="14">
        <v>1246458</v>
      </c>
      <c r="E18" s="14">
        <v>1516736</v>
      </c>
      <c r="F18" s="15"/>
    </row>
    <row r="19" spans="2:6" ht="14.25" customHeight="1" x14ac:dyDescent="0.3">
      <c r="B19" s="5" t="s">
        <v>46</v>
      </c>
      <c r="C19" s="14"/>
      <c r="D19" s="14">
        <v>36250951</v>
      </c>
      <c r="E19" s="14">
        <v>50660478</v>
      </c>
      <c r="F19" s="15"/>
    </row>
    <row r="20" spans="2:6" ht="14.25" customHeight="1" x14ac:dyDescent="0.3">
      <c r="B20" s="5" t="s">
        <v>47</v>
      </c>
      <c r="C20" s="14"/>
      <c r="D20" s="14">
        <v>29725817</v>
      </c>
      <c r="E20" s="14">
        <v>40170983</v>
      </c>
      <c r="F20" s="15"/>
    </row>
    <row r="21" spans="2:6" ht="14.25" customHeight="1" x14ac:dyDescent="0.3">
      <c r="B21" s="5" t="s">
        <v>48</v>
      </c>
      <c r="C21" s="14"/>
      <c r="D21" s="14">
        <v>6525134</v>
      </c>
      <c r="E21" s="14">
        <v>10489495</v>
      </c>
      <c r="F21" s="15"/>
    </row>
    <row r="23" spans="2:6" ht="14.25" customHeight="1" x14ac:dyDescent="0.3">
      <c r="B23" s="12" t="s">
        <v>49</v>
      </c>
      <c r="C23" s="13"/>
      <c r="D23" s="13"/>
      <c r="E23" s="13"/>
      <c r="F23" s="13"/>
    </row>
    <row r="24" spans="2:6" ht="14.25" customHeight="1" x14ac:dyDescent="0.3">
      <c r="B24" s="5" t="s">
        <v>50</v>
      </c>
      <c r="C24" s="17">
        <v>5.8799999999999998E-2</v>
      </c>
      <c r="D24" s="17">
        <v>5.8000000000000003E-2</v>
      </c>
      <c r="E24" s="17">
        <v>5.8500000000000003E-2</v>
      </c>
      <c r="F24" s="15"/>
    </row>
    <row r="25" spans="2:6" ht="14.25" customHeight="1" x14ac:dyDescent="0.3">
      <c r="B25" s="5" t="s">
        <v>51</v>
      </c>
      <c r="C25" s="18"/>
      <c r="D25" s="18">
        <v>0.17499999999999999</v>
      </c>
      <c r="E25" s="18">
        <v>0.16600000000000001</v>
      </c>
      <c r="F25" s="15"/>
    </row>
    <row r="27" spans="2:6" ht="14.25" customHeight="1" x14ac:dyDescent="0.3">
      <c r="B27" s="12" t="s">
        <v>52</v>
      </c>
      <c r="C27" s="13"/>
      <c r="D27" s="13"/>
      <c r="E27" s="13"/>
      <c r="F27" s="13"/>
    </row>
    <row r="28" spans="2:6" ht="14.25" customHeight="1" x14ac:dyDescent="0.3">
      <c r="B28" s="5" t="s">
        <v>53</v>
      </c>
      <c r="C28" s="14">
        <v>-7227139</v>
      </c>
      <c r="D28" s="14">
        <v>-1119807</v>
      </c>
      <c r="E28" s="14">
        <v>-3742458</v>
      </c>
      <c r="F28" s="15"/>
    </row>
    <row r="29" spans="2:6" ht="14.25" customHeight="1" x14ac:dyDescent="0.3">
      <c r="B29" s="5" t="s">
        <v>54</v>
      </c>
      <c r="C29" s="14">
        <v>-1889864</v>
      </c>
      <c r="D29" s="14">
        <v>-4820990</v>
      </c>
      <c r="E29" s="14">
        <v>-6719107</v>
      </c>
      <c r="F29" s="15"/>
    </row>
    <row r="30" spans="2:6" ht="14.25" customHeight="1" x14ac:dyDescent="0.3">
      <c r="B30" s="5" t="s">
        <v>55</v>
      </c>
      <c r="C30" s="14">
        <v>10885602</v>
      </c>
      <c r="D30" s="14">
        <v>5034577</v>
      </c>
      <c r="E30" s="14">
        <v>13109333</v>
      </c>
      <c r="F30" s="15"/>
    </row>
    <row r="32" spans="2:6" ht="14.25" customHeight="1" x14ac:dyDescent="0.3">
      <c r="B32" s="4"/>
    </row>
    <row r="33" spans="2:6" ht="14.25" customHeight="1" x14ac:dyDescent="0.3">
      <c r="B33" s="5" t="s">
        <v>35</v>
      </c>
      <c r="E33" s="19">
        <v>2218956</v>
      </c>
      <c r="F33" s="8" t="s">
        <v>56</v>
      </c>
    </row>
    <row r="39" spans="2:6" ht="15" customHeight="1" x14ac:dyDescent="0.3">
      <c r="B39" s="20" t="s">
        <v>57</v>
      </c>
    </row>
    <row r="40" spans="2:6" ht="14.25" customHeight="1" x14ac:dyDescent="0.3">
      <c r="B40" s="8" t="s">
        <v>58</v>
      </c>
    </row>
    <row r="42" spans="2:6" ht="14.25" customHeight="1" x14ac:dyDescent="0.3">
      <c r="B42" s="11" t="s">
        <v>29</v>
      </c>
      <c r="C42" s="11" t="s">
        <v>59</v>
      </c>
      <c r="D42" s="11" t="s">
        <v>60</v>
      </c>
      <c r="E42" s="11" t="s">
        <v>61</v>
      </c>
      <c r="F42" s="11" t="s">
        <v>62</v>
      </c>
    </row>
    <row r="43" spans="2:6" ht="14.25" customHeight="1" x14ac:dyDescent="0.3">
      <c r="B43" s="5" t="s">
        <v>37</v>
      </c>
      <c r="C43" s="21">
        <v>1626703</v>
      </c>
      <c r="D43" s="21">
        <v>2319044</v>
      </c>
      <c r="E43" s="22">
        <f t="shared" ref="E43:E48" si="0">D43/C43-1</f>
        <v>0.42560996076112234</v>
      </c>
      <c r="F43" s="15" t="s">
        <v>63</v>
      </c>
    </row>
    <row r="44" spans="2:6" ht="14.25" customHeight="1" x14ac:dyDescent="0.3">
      <c r="B44" s="5" t="s">
        <v>35</v>
      </c>
      <c r="C44" s="21">
        <v>1016563</v>
      </c>
      <c r="D44" s="21">
        <v>1481183</v>
      </c>
      <c r="E44" s="22">
        <f t="shared" si="0"/>
        <v>0.45704988279132719</v>
      </c>
      <c r="F44" s="15" t="s">
        <v>63</v>
      </c>
    </row>
    <row r="45" spans="2:6" ht="14.25" customHeight="1" x14ac:dyDescent="0.3">
      <c r="B45" s="5" t="s">
        <v>36</v>
      </c>
      <c r="C45" s="21">
        <v>610140</v>
      </c>
      <c r="D45" s="21">
        <v>837861</v>
      </c>
      <c r="E45" s="22">
        <f t="shared" si="0"/>
        <v>0.37322745599370633</v>
      </c>
      <c r="F45" s="15" t="s">
        <v>63</v>
      </c>
    </row>
    <row r="46" spans="2:6" ht="14.25" customHeight="1" x14ac:dyDescent="0.3">
      <c r="B46" s="5" t="s">
        <v>39</v>
      </c>
      <c r="C46" s="21">
        <v>1419016</v>
      </c>
      <c r="D46" s="21">
        <v>1892533</v>
      </c>
      <c r="E46" s="22">
        <f t="shared" si="0"/>
        <v>0.33369391183749864</v>
      </c>
      <c r="F46" s="15" t="s">
        <v>63</v>
      </c>
    </row>
    <row r="47" spans="2:6" ht="14.25" customHeight="1" x14ac:dyDescent="0.3">
      <c r="B47" s="5" t="s">
        <v>64</v>
      </c>
      <c r="C47" s="21">
        <v>168379</v>
      </c>
      <c r="D47" s="21">
        <v>323323</v>
      </c>
      <c r="E47" s="22">
        <f t="shared" si="0"/>
        <v>0.9202097648756673</v>
      </c>
      <c r="F47" s="15" t="s">
        <v>63</v>
      </c>
    </row>
    <row r="48" spans="2:6" ht="14.25" customHeight="1" x14ac:dyDescent="0.3">
      <c r="B48" s="5" t="s">
        <v>50</v>
      </c>
      <c r="C48" s="23">
        <v>5.9400000000000001E-2</v>
      </c>
      <c r="D48" s="23">
        <v>5.9400000000000001E-2</v>
      </c>
      <c r="E48" s="22">
        <f t="shared" si="0"/>
        <v>0</v>
      </c>
      <c r="F48" s="15" t="s">
        <v>65</v>
      </c>
    </row>
    <row r="50" spans="2:6" ht="14.25" customHeight="1" x14ac:dyDescent="0.3">
      <c r="B50" s="12" t="s">
        <v>66</v>
      </c>
      <c r="C50" s="13"/>
      <c r="D50" s="13"/>
      <c r="E50" s="13"/>
      <c r="F50" s="13"/>
    </row>
    <row r="51" spans="2:6" ht="14.25" customHeight="1" x14ac:dyDescent="0.3">
      <c r="C51" s="24" t="s">
        <v>67</v>
      </c>
      <c r="D51" s="24" t="s">
        <v>68</v>
      </c>
      <c r="E51" s="25" t="s">
        <v>61</v>
      </c>
    </row>
    <row r="52" spans="2:6" ht="14.25" customHeight="1" x14ac:dyDescent="0.3">
      <c r="B52" s="5" t="s">
        <v>42</v>
      </c>
      <c r="C52" s="21">
        <v>37505395</v>
      </c>
      <c r="D52" s="21">
        <v>45543160</v>
      </c>
      <c r="E52" s="26">
        <f>D52/C52-1</f>
        <v>0.21430956799681744</v>
      </c>
      <c r="F52" s="15" t="s">
        <v>69</v>
      </c>
    </row>
    <row r="53" spans="2:6" ht="14.25" customHeight="1" x14ac:dyDescent="0.3">
      <c r="B53" s="5" t="s">
        <v>43</v>
      </c>
      <c r="C53" s="21">
        <v>22862749</v>
      </c>
      <c r="D53" s="21">
        <v>29737289</v>
      </c>
      <c r="E53" s="22">
        <f>D53/C53-1</f>
        <v>0.30068737578320093</v>
      </c>
      <c r="F53" s="15" t="s">
        <v>69</v>
      </c>
    </row>
    <row r="54" spans="2:6" ht="14.25" customHeight="1" x14ac:dyDescent="0.3">
      <c r="B54" s="5" t="s">
        <v>70</v>
      </c>
      <c r="C54" s="21">
        <v>13657578</v>
      </c>
      <c r="D54" s="21">
        <v>16920564</v>
      </c>
      <c r="E54" s="22">
        <f>D54/C54-1</f>
        <v>0.23891395677915961</v>
      </c>
      <c r="F54" s="15" t="s">
        <v>69</v>
      </c>
    </row>
    <row r="55" spans="2:6" ht="14.25" customHeight="1" x14ac:dyDescent="0.3">
      <c r="B55" s="5" t="s">
        <v>46</v>
      </c>
      <c r="C55" s="21">
        <v>50660478</v>
      </c>
      <c r="D55" s="21">
        <v>60947548</v>
      </c>
      <c r="E55" s="22">
        <f>D55/C55-1</f>
        <v>0.20305907891354669</v>
      </c>
      <c r="F55" s="15" t="s">
        <v>69</v>
      </c>
    </row>
    <row r="56" spans="2:6" ht="14.25" customHeight="1" x14ac:dyDescent="0.3">
      <c r="B56" s="5" t="s">
        <v>71</v>
      </c>
      <c r="C56" s="21">
        <v>10489495</v>
      </c>
      <c r="D56" s="21">
        <v>11076227</v>
      </c>
      <c r="E56" s="22">
        <f>D56/C56-1</f>
        <v>5.5935199930978508E-2</v>
      </c>
      <c r="F56" s="15" t="s">
        <v>69</v>
      </c>
    </row>
    <row r="58" spans="2:6" ht="14.25" customHeight="1" x14ac:dyDescent="0.3">
      <c r="B58" s="8" t="s">
        <v>72</v>
      </c>
    </row>
    <row r="59" spans="2:6" ht="14.25" customHeight="1" x14ac:dyDescent="0.3">
      <c r="B59" s="8" t="s">
        <v>73</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F22"/>
  <sheetViews>
    <sheetView showGridLines="0" topLeftCell="A9" zoomScale="80" zoomScaleNormal="80" workbookViewId="0">
      <selection activeCell="F19" sqref="F19"/>
    </sheetView>
  </sheetViews>
  <sheetFormatPr defaultColWidth="8.6640625" defaultRowHeight="14.4" x14ac:dyDescent="0.3"/>
  <cols>
    <col min="1" max="1" width="2" customWidth="1"/>
    <col min="2" max="2" width="44" customWidth="1"/>
    <col min="3" max="3" width="15" style="9" customWidth="1"/>
    <col min="4" max="5" width="15" customWidth="1"/>
    <col min="6" max="6" width="52" style="27" customWidth="1"/>
  </cols>
  <sheetData>
    <row r="2" spans="2:6" ht="16.5" customHeight="1" x14ac:dyDescent="0.3">
      <c r="B2" s="10" t="s">
        <v>74</v>
      </c>
    </row>
    <row r="3" spans="2:6" ht="14.25" customHeight="1" x14ac:dyDescent="0.3">
      <c r="B3" s="8" t="s">
        <v>75</v>
      </c>
    </row>
    <row r="5" spans="2:6" ht="27.75" customHeight="1" x14ac:dyDescent="0.3">
      <c r="B5" s="11" t="s">
        <v>76</v>
      </c>
      <c r="C5" s="28" t="s">
        <v>77</v>
      </c>
      <c r="D5" s="11" t="s">
        <v>78</v>
      </c>
      <c r="E5" s="11" t="s">
        <v>79</v>
      </c>
      <c r="F5" s="29" t="s">
        <v>80</v>
      </c>
    </row>
    <row r="6" spans="2:6" ht="81" customHeight="1" x14ac:dyDescent="0.3">
      <c r="B6" s="5" t="s">
        <v>81</v>
      </c>
      <c r="C6" s="17">
        <v>0.38</v>
      </c>
      <c r="D6" s="17">
        <v>0.28000000000000003</v>
      </c>
      <c r="E6" s="17">
        <v>0.22</v>
      </c>
      <c r="F6" s="30" t="s">
        <v>82</v>
      </c>
    </row>
    <row r="7" spans="2:6" ht="81" customHeight="1" x14ac:dyDescent="0.3">
      <c r="B7" s="5" t="s">
        <v>83</v>
      </c>
      <c r="C7" s="17">
        <v>0.4</v>
      </c>
      <c r="D7" s="17">
        <v>0.3</v>
      </c>
      <c r="E7" s="17">
        <v>0.24</v>
      </c>
      <c r="F7" s="31" t="s">
        <v>84</v>
      </c>
    </row>
    <row r="8" spans="2:6" ht="100.5" customHeight="1" x14ac:dyDescent="0.3">
      <c r="B8" s="5" t="s">
        <v>50</v>
      </c>
      <c r="C8" s="17">
        <v>5.9499999999999997E-2</v>
      </c>
      <c r="D8" s="17">
        <v>5.8999999999999997E-2</v>
      </c>
      <c r="E8" s="17">
        <v>5.8000000000000003E-2</v>
      </c>
      <c r="F8" s="32" t="s">
        <v>85</v>
      </c>
    </row>
    <row r="9" spans="2:6" ht="57.75" customHeight="1" x14ac:dyDescent="0.3">
      <c r="B9" s="5" t="s">
        <v>86</v>
      </c>
      <c r="C9" s="17">
        <v>0.35</v>
      </c>
      <c r="D9" s="17">
        <v>0.3</v>
      </c>
      <c r="E9" s="17">
        <v>0.26</v>
      </c>
      <c r="F9" s="33" t="s">
        <v>87</v>
      </c>
    </row>
    <row r="10" spans="2:6" ht="92.25" customHeight="1" x14ac:dyDescent="0.3">
      <c r="B10" s="5" t="s">
        <v>88</v>
      </c>
      <c r="C10" s="17">
        <v>0.32</v>
      </c>
      <c r="D10" s="17">
        <v>0.26</v>
      </c>
      <c r="E10" s="17">
        <v>0.21</v>
      </c>
      <c r="F10" s="30" t="s">
        <v>89</v>
      </c>
    </row>
    <row r="11" spans="2:6" ht="114.75" customHeight="1" x14ac:dyDescent="0.3">
      <c r="B11" s="5" t="s">
        <v>90</v>
      </c>
      <c r="C11" s="17">
        <v>8.0000000000000004E-4</v>
      </c>
      <c r="D11" s="17">
        <v>8.0000000000000004E-4</v>
      </c>
      <c r="E11" s="17">
        <v>8.0000000000000004E-4</v>
      </c>
      <c r="F11" s="30" t="s">
        <v>91</v>
      </c>
    </row>
    <row r="12" spans="2:6" ht="69" customHeight="1" x14ac:dyDescent="0.3">
      <c r="B12" s="5" t="s">
        <v>92</v>
      </c>
      <c r="C12" s="17">
        <v>0.22</v>
      </c>
      <c r="D12" s="17">
        <v>0.22</v>
      </c>
      <c r="E12" s="17">
        <v>0.22</v>
      </c>
      <c r="F12" s="30" t="s">
        <v>93</v>
      </c>
    </row>
    <row r="14" spans="2:6" ht="14.25" customHeight="1" x14ac:dyDescent="0.3">
      <c r="B14" s="12" t="s">
        <v>94</v>
      </c>
    </row>
    <row r="15" spans="2:6" ht="14.25" customHeight="1" x14ac:dyDescent="0.3">
      <c r="B15" s="5" t="s">
        <v>95</v>
      </c>
      <c r="C15" s="17">
        <v>4.6899999999999997E-2</v>
      </c>
      <c r="F15" s="34" t="s">
        <v>96</v>
      </c>
    </row>
    <row r="16" spans="2:6" ht="21.75" customHeight="1" x14ac:dyDescent="0.3">
      <c r="B16" s="5" t="s">
        <v>97</v>
      </c>
      <c r="C16" s="17">
        <v>4.2299999999999997E-2</v>
      </c>
      <c r="F16" s="34" t="s">
        <v>98</v>
      </c>
    </row>
    <row r="17" spans="2:6" ht="14.25" customHeight="1" x14ac:dyDescent="0.3">
      <c r="B17" s="5" t="s">
        <v>99</v>
      </c>
      <c r="C17" s="35">
        <v>2.2000000000000002</v>
      </c>
      <c r="F17" s="34" t="s">
        <v>100</v>
      </c>
    </row>
    <row r="18" spans="2:6" ht="14.25" customHeight="1" x14ac:dyDescent="0.3">
      <c r="B18" s="5" t="s">
        <v>101</v>
      </c>
      <c r="C18" s="36">
        <f>C15+C17*C16</f>
        <v>0.13996</v>
      </c>
      <c r="F18" s="34"/>
    </row>
    <row r="19" spans="2:6" ht="14.25" customHeight="1" x14ac:dyDescent="0.3">
      <c r="B19" s="5" t="s">
        <v>102</v>
      </c>
      <c r="C19" s="17">
        <v>0.04</v>
      </c>
      <c r="F19" s="34" t="s">
        <v>103</v>
      </c>
    </row>
    <row r="21" spans="2:6" ht="14.25" customHeight="1" x14ac:dyDescent="0.3">
      <c r="B21" s="8" t="s">
        <v>104</v>
      </c>
    </row>
    <row r="22" spans="2:6" ht="14.25" customHeight="1" x14ac:dyDescent="0.3">
      <c r="B22" s="8" t="s">
        <v>105</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G35"/>
  <sheetViews>
    <sheetView showGridLines="0" topLeftCell="A8" zoomScale="80" zoomScaleNormal="80" workbookViewId="0">
      <selection activeCell="M9" sqref="M9"/>
    </sheetView>
  </sheetViews>
  <sheetFormatPr defaultColWidth="8.6640625" defaultRowHeight="14.4" x14ac:dyDescent="0.3"/>
  <cols>
    <col min="1" max="1" width="2" customWidth="1"/>
    <col min="2" max="2" width="38" customWidth="1"/>
    <col min="3" max="6" width="16" customWidth="1"/>
    <col min="7" max="7" width="52" customWidth="1"/>
  </cols>
  <sheetData>
    <row r="2" spans="2:7" ht="15" customHeight="1" x14ac:dyDescent="0.3">
      <c r="B2" s="20" t="s">
        <v>106</v>
      </c>
    </row>
    <row r="3" spans="2:7" ht="15" customHeight="1" x14ac:dyDescent="0.3">
      <c r="B3" s="8" t="s">
        <v>107</v>
      </c>
    </row>
    <row r="5" spans="2:7" ht="15" customHeight="1" x14ac:dyDescent="0.3">
      <c r="B5" s="11" t="s">
        <v>29</v>
      </c>
      <c r="C5" s="11" t="s">
        <v>108</v>
      </c>
      <c r="D5" s="11" t="s">
        <v>77</v>
      </c>
      <c r="E5" s="11" t="s">
        <v>78</v>
      </c>
      <c r="F5" s="11" t="s">
        <v>79</v>
      </c>
      <c r="G5" s="11" t="s">
        <v>109</v>
      </c>
    </row>
    <row r="6" spans="2:7" ht="15" customHeight="1" x14ac:dyDescent="0.3">
      <c r="B6" s="12" t="s">
        <v>110</v>
      </c>
      <c r="C6" s="13"/>
      <c r="D6" s="13"/>
      <c r="E6" s="13"/>
      <c r="F6" s="13"/>
      <c r="G6" s="13"/>
    </row>
    <row r="7" spans="2:7" ht="15" customHeight="1" x14ac:dyDescent="0.3">
      <c r="B7" s="5" t="s">
        <v>42</v>
      </c>
      <c r="C7" s="37">
        <f>'1. Historicals'!E15</f>
        <v>37505395</v>
      </c>
      <c r="D7" s="16">
        <f>C7*(1+'2. Assumptions'!C6)</f>
        <v>51757445.099999994</v>
      </c>
      <c r="E7" s="16">
        <f>D7*(1+'2. Assumptions'!D6)</f>
        <v>66249529.727999993</v>
      </c>
      <c r="F7" s="16">
        <f>E7*(1+'2. Assumptions'!E6)</f>
        <v>80824426.268159986</v>
      </c>
      <c r="G7" s="8" t="s">
        <v>111</v>
      </c>
    </row>
    <row r="8" spans="2:7" ht="15" customHeight="1" x14ac:dyDescent="0.3">
      <c r="B8" s="5" t="s">
        <v>112</v>
      </c>
      <c r="C8" s="37">
        <f>SUM('1. Historicals'!E16:E18)</f>
        <v>38037063</v>
      </c>
      <c r="D8" s="16">
        <f>C8*(1+'2. Assumptions'!C7)</f>
        <v>53251888.199999996</v>
      </c>
      <c r="E8" s="16">
        <f>D8*(1+'2. Assumptions'!D7)</f>
        <v>69227454.659999996</v>
      </c>
      <c r="F8" s="16">
        <f>E8*(1+'2. Assumptions'!E7)</f>
        <v>85842043.778399989</v>
      </c>
      <c r="G8" s="8" t="s">
        <v>113</v>
      </c>
    </row>
    <row r="9" spans="2:7" ht="15" customHeight="1" x14ac:dyDescent="0.3">
      <c r="B9" s="5" t="s">
        <v>114</v>
      </c>
      <c r="C9" s="14">
        <v>37913495</v>
      </c>
      <c r="D9" s="16">
        <f>C9*(1+'2. Assumptions'!C7)</f>
        <v>53078893</v>
      </c>
      <c r="E9" s="16">
        <f>D9*(1+'2. Assumptions'!D7)</f>
        <v>69002560.900000006</v>
      </c>
      <c r="F9" s="16">
        <f>E9*(1+'2. Assumptions'!E7)</f>
        <v>85563175.516000003</v>
      </c>
      <c r="G9" s="8" t="s">
        <v>115</v>
      </c>
    </row>
    <row r="11" spans="2:7" ht="15" customHeight="1" x14ac:dyDescent="0.3">
      <c r="B11" s="12" t="s">
        <v>116</v>
      </c>
      <c r="C11" s="13"/>
      <c r="D11" s="13"/>
      <c r="E11" s="13"/>
      <c r="F11" s="13"/>
      <c r="G11" s="13"/>
    </row>
    <row r="12" spans="2:7" ht="15" customHeight="1" x14ac:dyDescent="0.3">
      <c r="B12" s="5" t="s">
        <v>35</v>
      </c>
      <c r="C12" s="37">
        <f>'1. Historicals'!E7</f>
        <v>2218956</v>
      </c>
      <c r="D12" s="16">
        <f>D9*'2. Assumptions'!C8</f>
        <v>3158194.1335</v>
      </c>
      <c r="E12" s="16">
        <f>E9*'2. Assumptions'!D8</f>
        <v>4071151.0931000002</v>
      </c>
      <c r="F12" s="16">
        <f>F9*'2. Assumptions'!E8</f>
        <v>4962664.1799280001</v>
      </c>
      <c r="G12" s="8" t="s">
        <v>117</v>
      </c>
    </row>
    <row r="13" spans="2:7" ht="15" customHeight="1" x14ac:dyDescent="0.3">
      <c r="B13" s="5" t="s">
        <v>36</v>
      </c>
      <c r="C13" s="37">
        <f>'1. Historicals'!E8</f>
        <v>1394398</v>
      </c>
      <c r="D13" s="16">
        <f>C13*(1+'2. Assumptions'!C9)</f>
        <v>1882437.3</v>
      </c>
      <c r="E13" s="16">
        <f>D13*(1+'2. Assumptions'!D9)</f>
        <v>2447168.4900000002</v>
      </c>
      <c r="F13" s="16">
        <f>E13*(1+'2. Assumptions'!E9)</f>
        <v>3083432.2974000005</v>
      </c>
      <c r="G13" s="8" t="s">
        <v>118</v>
      </c>
    </row>
    <row r="14" spans="2:7" ht="15" customHeight="1" x14ac:dyDescent="0.3">
      <c r="B14" s="4" t="s">
        <v>37</v>
      </c>
      <c r="C14" s="37">
        <f>'1. Historicals'!E9</f>
        <v>3613354</v>
      </c>
      <c r="D14" s="16">
        <f>D12+D13</f>
        <v>5040631.4335000003</v>
      </c>
      <c r="E14" s="16">
        <f>E12+E13</f>
        <v>6518319.5831000004</v>
      </c>
      <c r="F14" s="16">
        <f>F12+F13</f>
        <v>8046096.4773280006</v>
      </c>
      <c r="G14" s="8" t="s">
        <v>119</v>
      </c>
    </row>
    <row r="15" spans="2:7" ht="15" customHeight="1" x14ac:dyDescent="0.3">
      <c r="B15" s="5" t="s">
        <v>38</v>
      </c>
      <c r="C15" s="37">
        <f>'1. Historicals'!E10</f>
        <v>30319</v>
      </c>
      <c r="D15" s="16">
        <f>D8*'2. Assumptions'!C11</f>
        <v>42601.510559999995</v>
      </c>
      <c r="E15" s="16">
        <f>E8*'2. Assumptions'!D11</f>
        <v>55381.963728000002</v>
      </c>
      <c r="F15" s="16">
        <f>F8*'2. Assumptions'!E11</f>
        <v>68673.635022719987</v>
      </c>
      <c r="G15" s="8" t="s">
        <v>120</v>
      </c>
    </row>
    <row r="16" spans="2:7" ht="15" customHeight="1" x14ac:dyDescent="0.3">
      <c r="B16" s="5" t="s">
        <v>39</v>
      </c>
      <c r="C16" s="37">
        <f>'1. Historicals'!E11</f>
        <v>3057178</v>
      </c>
      <c r="D16" s="16">
        <f>C16*(1+'2. Assumptions'!C10)</f>
        <v>4035474.96</v>
      </c>
      <c r="E16" s="16">
        <f>D16*(1+'2. Assumptions'!D10)</f>
        <v>5084698.4495999999</v>
      </c>
      <c r="F16" s="16">
        <f>E16*(1+'2. Assumptions'!E10)</f>
        <v>6152485.124016</v>
      </c>
      <c r="G16" s="8" t="s">
        <v>121</v>
      </c>
    </row>
    <row r="17" spans="2:7" ht="15" customHeight="1" x14ac:dyDescent="0.3">
      <c r="B17" s="5" t="s">
        <v>122</v>
      </c>
      <c r="C17" s="16">
        <f>C14-C15-C16</f>
        <v>525857</v>
      </c>
      <c r="D17" s="16">
        <f>D14-D15-D16</f>
        <v>962554.96294</v>
      </c>
      <c r="E17" s="16">
        <f>E14-E15-E16</f>
        <v>1378239.1697720001</v>
      </c>
      <c r="F17" s="16">
        <f>F14-F15-F16</f>
        <v>1824937.7182892803</v>
      </c>
      <c r="G17" s="8" t="s">
        <v>123</v>
      </c>
    </row>
    <row r="18" spans="2:7" ht="15" customHeight="1" x14ac:dyDescent="0.3">
      <c r="B18" s="5" t="s">
        <v>124</v>
      </c>
      <c r="C18" s="21">
        <v>44537</v>
      </c>
      <c r="D18" s="16">
        <f>D17*'2. Assumptions'!C12</f>
        <v>211762.0918468</v>
      </c>
      <c r="E18" s="16">
        <f>E17*'2. Assumptions'!D12</f>
        <v>303212.61734984</v>
      </c>
      <c r="F18" s="16">
        <f>F17*'2. Assumptions'!E12</f>
        <v>401486.29802364169</v>
      </c>
      <c r="G18" s="8" t="s">
        <v>125</v>
      </c>
    </row>
    <row r="19" spans="2:7" ht="15" customHeight="1" x14ac:dyDescent="0.3">
      <c r="B19" s="4" t="s">
        <v>64</v>
      </c>
      <c r="C19" s="37">
        <f>'1. Historicals'!E12</f>
        <v>481320</v>
      </c>
      <c r="D19" s="16">
        <f>D17-D18</f>
        <v>750792.87109320005</v>
      </c>
      <c r="E19" s="16">
        <f>E17-E18</f>
        <v>1075026.55242216</v>
      </c>
      <c r="F19" s="16">
        <f>F17-F18</f>
        <v>1423451.4202656387</v>
      </c>
      <c r="G19" s="8" t="s">
        <v>126</v>
      </c>
    </row>
    <row r="21" spans="2:7" ht="15" customHeight="1" x14ac:dyDescent="0.3">
      <c r="B21" s="12" t="s">
        <v>127</v>
      </c>
      <c r="C21" s="13"/>
      <c r="D21" s="13"/>
      <c r="E21" s="13"/>
      <c r="F21" s="13"/>
      <c r="G21" s="13"/>
    </row>
    <row r="22" spans="2:7" ht="15" customHeight="1" x14ac:dyDescent="0.3">
      <c r="B22" s="5" t="s">
        <v>128</v>
      </c>
      <c r="D22" s="22">
        <f>D14/C14-1</f>
        <v>0.3950007205217092</v>
      </c>
      <c r="E22" s="22">
        <f>E14/D14-1</f>
        <v>0.29315536537333298</v>
      </c>
      <c r="F22" s="22">
        <f>F14/E14-1</f>
        <v>0.23438201744343079</v>
      </c>
      <c r="G22" s="8" t="s">
        <v>129</v>
      </c>
    </row>
    <row r="23" spans="2:7" ht="15" customHeight="1" x14ac:dyDescent="0.3">
      <c r="B23" s="5" t="s">
        <v>130</v>
      </c>
      <c r="C23" s="22">
        <f>C19/C14</f>
        <v>0.13320588018777013</v>
      </c>
      <c r="D23" s="22">
        <f>D19/D14</f>
        <v>0.14894817861576548</v>
      </c>
      <c r="E23" s="22">
        <f>E19/E14</f>
        <v>0.16492387933991048</v>
      </c>
      <c r="F23" s="22">
        <f>F19/F14</f>
        <v>0.17691204974692867</v>
      </c>
    </row>
    <row r="24" spans="2:7" ht="15" customHeight="1" x14ac:dyDescent="0.3">
      <c r="B24" s="5" t="s">
        <v>131</v>
      </c>
      <c r="D24" s="22">
        <f>(D16/C16-1)-(D14/C14-1)</f>
        <v>-7.5000720521709141E-2</v>
      </c>
      <c r="E24" s="22">
        <f>(E16/D16-1)-(E14/D14-1)</f>
        <v>-3.3155365373332968E-2</v>
      </c>
      <c r="F24" s="22">
        <f>(F16/E16-1)-(F14/E14-1)</f>
        <v>-2.4382017443430826E-2</v>
      </c>
      <c r="G24" s="8" t="s">
        <v>132</v>
      </c>
    </row>
    <row r="25" spans="2:7" ht="15" customHeight="1" x14ac:dyDescent="0.3">
      <c r="B25" s="5" t="s">
        <v>133</v>
      </c>
      <c r="D25" s="22">
        <f>IFERROR(D19/'4. Valuation'!D22,"")</f>
        <v>8.4281892051383256E-2</v>
      </c>
      <c r="E25" s="22">
        <f>IFERROR(E19/'4. Valuation'!E22,"")</f>
        <v>0.11129896417590779</v>
      </c>
      <c r="F25" s="22">
        <f>IFERROR(F19/'4. Valuation'!F22,"")</f>
        <v>0.13261225860807899</v>
      </c>
      <c r="G25" s="8" t="s">
        <v>134</v>
      </c>
    </row>
    <row r="27" spans="2:7" ht="15" customHeight="1" x14ac:dyDescent="0.3">
      <c r="B27" s="12" t="s">
        <v>135</v>
      </c>
      <c r="C27" s="13"/>
      <c r="D27" s="13"/>
      <c r="E27" s="13"/>
      <c r="F27" s="13"/>
      <c r="G27" s="13"/>
    </row>
    <row r="28" spans="2:7" ht="15" customHeight="1" x14ac:dyDescent="0.3">
      <c r="B28" s="5" t="s">
        <v>136</v>
      </c>
      <c r="D28" s="16">
        <f>D14</f>
        <v>5040631.4335000003</v>
      </c>
    </row>
    <row r="29" spans="2:7" ht="15" customHeight="1" x14ac:dyDescent="0.3">
      <c r="B29" s="5" t="s">
        <v>137</v>
      </c>
      <c r="D29" s="14">
        <v>4850000</v>
      </c>
      <c r="G29" s="8" t="s">
        <v>138</v>
      </c>
    </row>
    <row r="30" spans="2:7" ht="15" customHeight="1" x14ac:dyDescent="0.3">
      <c r="B30" s="4" t="s">
        <v>139</v>
      </c>
      <c r="D30" s="22">
        <f>D28/D29-1</f>
        <v>3.9305450206185588E-2</v>
      </c>
      <c r="G30" s="8" t="s">
        <v>140</v>
      </c>
    </row>
    <row r="31" spans="2:7" ht="15" customHeight="1" x14ac:dyDescent="0.3">
      <c r="B31" s="5" t="s">
        <v>141</v>
      </c>
      <c r="D31" s="22">
        <f>(F14/C14)^(1/3)-1</f>
        <v>0.30584483235688009</v>
      </c>
      <c r="G31" s="8" t="s">
        <v>142</v>
      </c>
    </row>
    <row r="32" spans="2:7" ht="15" customHeight="1" x14ac:dyDescent="0.3">
      <c r="B32" s="5" t="s">
        <v>143</v>
      </c>
      <c r="D32" s="18">
        <v>0.3</v>
      </c>
      <c r="G32" s="8" t="s">
        <v>144</v>
      </c>
    </row>
    <row r="33" spans="2:7" ht="15" customHeight="1" x14ac:dyDescent="0.3">
      <c r="B33" s="4" t="s">
        <v>145</v>
      </c>
      <c r="D33" s="38">
        <f>D31-D32</f>
        <v>5.8448323568801031E-3</v>
      </c>
      <c r="G33" s="8" t="s">
        <v>146</v>
      </c>
    </row>
    <row r="35" spans="2:7" ht="15" customHeight="1" x14ac:dyDescent="0.3">
      <c r="B35" s="8" t="s">
        <v>147</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H72"/>
  <sheetViews>
    <sheetView showGridLines="0" topLeftCell="A53" zoomScale="85" zoomScaleNormal="85" workbookViewId="0">
      <selection activeCell="D77" sqref="D77"/>
    </sheetView>
  </sheetViews>
  <sheetFormatPr defaultColWidth="8.6640625" defaultRowHeight="14.4" x14ac:dyDescent="0.3"/>
  <cols>
    <col min="1" max="1" width="2" customWidth="1"/>
    <col min="2" max="2" width="40" customWidth="1"/>
    <col min="3" max="6" width="16" customWidth="1"/>
    <col min="7" max="7" width="56" customWidth="1"/>
  </cols>
  <sheetData>
    <row r="2" spans="2:7" ht="15" customHeight="1" x14ac:dyDescent="0.3">
      <c r="B2" s="20" t="s">
        <v>148</v>
      </c>
    </row>
    <row r="3" spans="2:7" ht="15" customHeight="1" x14ac:dyDescent="0.3">
      <c r="B3" s="8" t="s">
        <v>149</v>
      </c>
    </row>
    <row r="5" spans="2:7" ht="15" customHeight="1" x14ac:dyDescent="0.3">
      <c r="B5" s="11"/>
      <c r="C5" s="11" t="s">
        <v>150</v>
      </c>
      <c r="D5" s="11" t="s">
        <v>77</v>
      </c>
      <c r="E5" s="11" t="s">
        <v>78</v>
      </c>
      <c r="F5" s="11" t="s">
        <v>79</v>
      </c>
      <c r="G5" s="11" t="s">
        <v>151</v>
      </c>
    </row>
    <row r="6" spans="2:7" ht="15" customHeight="1" x14ac:dyDescent="0.3">
      <c r="B6" s="39" t="s">
        <v>152</v>
      </c>
      <c r="C6" s="13"/>
      <c r="D6" s="13"/>
      <c r="E6" s="13"/>
      <c r="F6" s="13"/>
      <c r="G6" s="13"/>
    </row>
    <row r="7" spans="2:7" ht="15" customHeight="1" x14ac:dyDescent="0.3">
      <c r="B7" s="5" t="s">
        <v>153</v>
      </c>
      <c r="C7" s="40">
        <v>18.38</v>
      </c>
      <c r="D7" s="41" t="s">
        <v>154</v>
      </c>
      <c r="E7" s="41" t="s">
        <v>154</v>
      </c>
      <c r="F7" s="41" t="s">
        <v>154</v>
      </c>
      <c r="G7" s="8" t="s">
        <v>155</v>
      </c>
    </row>
    <row r="8" spans="2:7" ht="15" customHeight="1" x14ac:dyDescent="0.3">
      <c r="B8" s="5" t="s">
        <v>156</v>
      </c>
      <c r="C8" s="42">
        <v>1290312</v>
      </c>
      <c r="D8" s="41" t="s">
        <v>154</v>
      </c>
      <c r="E8" s="41" t="s">
        <v>154</v>
      </c>
      <c r="F8" s="41" t="s">
        <v>154</v>
      </c>
      <c r="G8" s="8" t="s">
        <v>69</v>
      </c>
    </row>
    <row r="9" spans="2:7" ht="15" customHeight="1" x14ac:dyDescent="0.3">
      <c r="B9" s="5" t="s">
        <v>157</v>
      </c>
      <c r="C9" s="16">
        <f>C7*C8</f>
        <v>23715934.559999999</v>
      </c>
      <c r="D9" s="41" t="s">
        <v>154</v>
      </c>
      <c r="E9" s="41" t="s">
        <v>154</v>
      </c>
      <c r="F9" s="41" t="s">
        <v>154</v>
      </c>
      <c r="G9" s="8" t="s">
        <v>158</v>
      </c>
    </row>
    <row r="10" spans="2:7" ht="15" customHeight="1" x14ac:dyDescent="0.3">
      <c r="B10" s="5" t="s">
        <v>159</v>
      </c>
      <c r="C10" s="14">
        <v>9470220</v>
      </c>
      <c r="D10" s="41" t="s">
        <v>154</v>
      </c>
      <c r="E10" s="41" t="s">
        <v>154</v>
      </c>
      <c r="F10" s="41" t="s">
        <v>154</v>
      </c>
      <c r="G10" s="8" t="s">
        <v>160</v>
      </c>
    </row>
    <row r="11" spans="2:7" ht="15" customHeight="1" x14ac:dyDescent="0.3">
      <c r="B11" s="5" t="s">
        <v>161</v>
      </c>
      <c r="C11" s="43">
        <f>C10/C8</f>
        <v>7.3394806837416064</v>
      </c>
      <c r="D11" s="41" t="s">
        <v>154</v>
      </c>
      <c r="E11" s="41" t="s">
        <v>154</v>
      </c>
      <c r="F11" s="41" t="s">
        <v>154</v>
      </c>
      <c r="G11" s="44" t="s">
        <v>162</v>
      </c>
    </row>
    <row r="12" spans="2:7" ht="15" customHeight="1" x14ac:dyDescent="0.3">
      <c r="B12" s="5" t="s">
        <v>163</v>
      </c>
      <c r="C12" s="45">
        <f>C7/C11</f>
        <v>2.504264374006095</v>
      </c>
      <c r="D12" s="41" t="s">
        <v>154</v>
      </c>
      <c r="E12" s="41" t="s">
        <v>154</v>
      </c>
      <c r="F12" s="41" t="s">
        <v>154</v>
      </c>
      <c r="G12" s="8" t="s">
        <v>164</v>
      </c>
    </row>
    <row r="14" spans="2:7" ht="15" customHeight="1" x14ac:dyDescent="0.3">
      <c r="B14" s="12" t="s">
        <v>165</v>
      </c>
      <c r="C14" s="13"/>
      <c r="D14" s="13"/>
      <c r="E14" s="13"/>
      <c r="F14" s="13"/>
      <c r="G14" s="13"/>
    </row>
    <row r="15" spans="2:7" ht="15" customHeight="1" x14ac:dyDescent="0.3">
      <c r="B15" s="5" t="s">
        <v>166</v>
      </c>
      <c r="C15" s="46">
        <f>'2. Assumptions'!C15</f>
        <v>4.6899999999999997E-2</v>
      </c>
      <c r="D15" s="41" t="s">
        <v>154</v>
      </c>
      <c r="E15" s="41" t="s">
        <v>154</v>
      </c>
      <c r="F15" s="41" t="s">
        <v>154</v>
      </c>
    </row>
    <row r="16" spans="2:7" ht="15" customHeight="1" x14ac:dyDescent="0.3">
      <c r="B16" s="5" t="s">
        <v>97</v>
      </c>
      <c r="C16" s="46">
        <f>'2. Assumptions'!C16</f>
        <v>4.2299999999999997E-2</v>
      </c>
      <c r="D16" s="41" t="s">
        <v>154</v>
      </c>
      <c r="E16" s="41" t="s">
        <v>154</v>
      </c>
      <c r="F16" s="41" t="s">
        <v>154</v>
      </c>
    </row>
    <row r="17" spans="2:8" ht="15" customHeight="1" x14ac:dyDescent="0.3">
      <c r="B17" s="5" t="s">
        <v>99</v>
      </c>
      <c r="C17" s="47">
        <f>'2. Assumptions'!C17</f>
        <v>2.2000000000000002</v>
      </c>
      <c r="D17" s="41" t="s">
        <v>154</v>
      </c>
      <c r="E17" s="41" t="s">
        <v>154</v>
      </c>
      <c r="F17" s="41" t="s">
        <v>154</v>
      </c>
    </row>
    <row r="18" spans="2:8" ht="15" customHeight="1" x14ac:dyDescent="0.3">
      <c r="B18" s="5" t="s">
        <v>101</v>
      </c>
      <c r="C18" s="46">
        <f>'2. Assumptions'!C18</f>
        <v>0.13996</v>
      </c>
      <c r="D18" s="41" t="s">
        <v>154</v>
      </c>
      <c r="E18" s="41" t="s">
        <v>154</v>
      </c>
      <c r="F18" s="41" t="s">
        <v>154</v>
      </c>
      <c r="G18" s="8" t="s">
        <v>167</v>
      </c>
    </row>
    <row r="19" spans="2:8" ht="15" customHeight="1" x14ac:dyDescent="0.3">
      <c r="B19" s="5" t="s">
        <v>102</v>
      </c>
      <c r="C19" s="46">
        <f>'2. Assumptions'!C19</f>
        <v>0.04</v>
      </c>
      <c r="D19" s="41" t="s">
        <v>154</v>
      </c>
      <c r="E19" s="41" t="s">
        <v>154</v>
      </c>
      <c r="F19" s="41" t="s">
        <v>154</v>
      </c>
    </row>
    <row r="21" spans="2:8" ht="15" customHeight="1" x14ac:dyDescent="0.3">
      <c r="B21" s="12" t="s">
        <v>168</v>
      </c>
      <c r="C21" s="13"/>
      <c r="D21" s="13"/>
      <c r="E21" s="13"/>
      <c r="F21" s="13"/>
      <c r="G21" s="13"/>
    </row>
    <row r="22" spans="2:8" ht="15" customHeight="1" x14ac:dyDescent="0.3">
      <c r="B22" s="5" t="s">
        <v>169</v>
      </c>
      <c r="C22" s="41" t="s">
        <v>154</v>
      </c>
      <c r="D22" s="14">
        <v>8908116</v>
      </c>
      <c r="E22" s="16">
        <f>D26</f>
        <v>9658908.8710932005</v>
      </c>
      <c r="F22" s="16">
        <f>E26</f>
        <v>10733935.423515361</v>
      </c>
      <c r="G22" s="8" t="s">
        <v>170</v>
      </c>
    </row>
    <row r="23" spans="2:8" ht="15" customHeight="1" x14ac:dyDescent="0.3">
      <c r="B23" s="5" t="s">
        <v>64</v>
      </c>
      <c r="C23" s="41" t="s">
        <v>154</v>
      </c>
      <c r="D23" s="37">
        <f>'3. Projections'!D19</f>
        <v>750792.87109320005</v>
      </c>
      <c r="E23" s="37">
        <f>'3. Projections'!E19</f>
        <v>1075026.55242216</v>
      </c>
      <c r="F23" s="37">
        <f>'3. Projections'!F19</f>
        <v>1423451.4202656387</v>
      </c>
    </row>
    <row r="24" spans="2:8" ht="15" customHeight="1" x14ac:dyDescent="0.3">
      <c r="B24" s="5" t="s">
        <v>171</v>
      </c>
      <c r="C24" s="41" t="s">
        <v>154</v>
      </c>
      <c r="D24" s="16">
        <f>D22*$C$18</f>
        <v>1246779.91536</v>
      </c>
      <c r="E24" s="16">
        <f>E22*$C$18</f>
        <v>1351860.8855982043</v>
      </c>
      <c r="F24" s="16">
        <f>F22*$C$18</f>
        <v>1502321.6018752099</v>
      </c>
    </row>
    <row r="25" spans="2:8" ht="15" customHeight="1" x14ac:dyDescent="0.3">
      <c r="B25" s="4" t="s">
        <v>172</v>
      </c>
      <c r="C25" s="41" t="s">
        <v>154</v>
      </c>
      <c r="D25" s="16">
        <f>D23-D24</f>
        <v>-495987.04426679993</v>
      </c>
      <c r="E25" s="16">
        <f>E23-E24</f>
        <v>-276834.33317604428</v>
      </c>
      <c r="F25" s="16">
        <f>F23-F24</f>
        <v>-78870.181609571213</v>
      </c>
      <c r="G25" s="8" t="s">
        <v>173</v>
      </c>
    </row>
    <row r="26" spans="2:8" ht="15" customHeight="1" x14ac:dyDescent="0.3">
      <c r="B26" s="5" t="s">
        <v>174</v>
      </c>
      <c r="C26" s="41" t="s">
        <v>154</v>
      </c>
      <c r="D26" s="16">
        <f>D22+D23</f>
        <v>9658908.8710932005</v>
      </c>
      <c r="E26" s="16">
        <f>E22+E23</f>
        <v>10733935.423515361</v>
      </c>
      <c r="F26" s="16">
        <f>F22+F23</f>
        <v>12157386.843781</v>
      </c>
      <c r="G26" s="8" t="s">
        <v>175</v>
      </c>
      <c r="H26" s="8" t="s">
        <v>176</v>
      </c>
    </row>
    <row r="27" spans="2:8" ht="15" customHeight="1" x14ac:dyDescent="0.3">
      <c r="B27" s="5" t="s">
        <v>177</v>
      </c>
      <c r="C27" s="41" t="s">
        <v>154</v>
      </c>
      <c r="D27" s="48">
        <v>1</v>
      </c>
      <c r="E27" s="48">
        <v>2</v>
      </c>
      <c r="F27" s="48">
        <v>3</v>
      </c>
    </row>
    <row r="28" spans="2:8" ht="15" customHeight="1" x14ac:dyDescent="0.3">
      <c r="B28" s="5" t="s">
        <v>178</v>
      </c>
      <c r="C28" s="41" t="s">
        <v>154</v>
      </c>
      <c r="D28" s="48">
        <f>1/(1+$C$18)^D27</f>
        <v>0.87722376223727139</v>
      </c>
      <c r="E28" s="48">
        <f>1/(1+$C$18)^E27</f>
        <v>0.76952152903371285</v>
      </c>
      <c r="F28" s="48">
        <f>1/(1+$C$18)^F27</f>
        <v>0.6750425708215313</v>
      </c>
    </row>
    <row r="29" spans="2:8" ht="15" customHeight="1" x14ac:dyDescent="0.3">
      <c r="B29" s="5" t="s">
        <v>179</v>
      </c>
      <c r="C29" s="41" t="s">
        <v>154</v>
      </c>
      <c r="D29" s="16">
        <f>D25*D28</f>
        <v>-435091.62099266629</v>
      </c>
      <c r="E29" s="16">
        <f>E25*E28</f>
        <v>-213029.9793546579</v>
      </c>
      <c r="F29" s="16">
        <f>F25*F28</f>
        <v>-53240.730154886012</v>
      </c>
    </row>
    <row r="31" spans="2:8" ht="15" customHeight="1" x14ac:dyDescent="0.3">
      <c r="B31" s="12" t="s">
        <v>180</v>
      </c>
      <c r="C31" s="13"/>
      <c r="D31" s="13"/>
      <c r="E31" s="13"/>
      <c r="F31" s="13"/>
      <c r="G31" s="13"/>
    </row>
    <row r="32" spans="2:8" ht="15" customHeight="1" x14ac:dyDescent="0.3">
      <c r="B32" s="5" t="s">
        <v>181</v>
      </c>
      <c r="C32" s="18">
        <v>0.2</v>
      </c>
      <c r="D32" s="41" t="s">
        <v>154</v>
      </c>
      <c r="E32" s="41" t="s">
        <v>154</v>
      </c>
      <c r="F32" s="41" t="s">
        <v>154</v>
      </c>
      <c r="G32" s="8" t="s">
        <v>182</v>
      </c>
    </row>
    <row r="33" spans="2:7" ht="15" customHeight="1" x14ac:dyDescent="0.3">
      <c r="B33" s="5" t="s">
        <v>183</v>
      </c>
      <c r="C33" s="16">
        <f>F26*(C32-C18)</f>
        <v>729929.50610061141</v>
      </c>
      <c r="D33" s="41" t="s">
        <v>154</v>
      </c>
      <c r="E33" s="41" t="s">
        <v>154</v>
      </c>
      <c r="F33" s="41" t="s">
        <v>154</v>
      </c>
      <c r="G33" s="8" t="s">
        <v>184</v>
      </c>
    </row>
    <row r="34" spans="2:7" ht="15" customHeight="1" x14ac:dyDescent="0.3">
      <c r="B34" s="5" t="s">
        <v>185</v>
      </c>
      <c r="C34" s="16">
        <f>C33/(C18-C19)</f>
        <v>7302215.947385069</v>
      </c>
      <c r="D34" s="41" t="s">
        <v>154</v>
      </c>
      <c r="E34" s="41" t="s">
        <v>154</v>
      </c>
      <c r="F34" s="41" t="s">
        <v>154</v>
      </c>
      <c r="G34" s="8" t="s">
        <v>186</v>
      </c>
    </row>
    <row r="35" spans="2:7" ht="15" customHeight="1" x14ac:dyDescent="0.3">
      <c r="B35" s="5" t="s">
        <v>187</v>
      </c>
      <c r="C35" s="16">
        <f>C34*F28</f>
        <v>4929306.6258168006</v>
      </c>
      <c r="D35" s="41" t="s">
        <v>154</v>
      </c>
      <c r="E35" s="41" t="s">
        <v>154</v>
      </c>
      <c r="F35" s="41" t="s">
        <v>154</v>
      </c>
      <c r="G35" s="8" t="s">
        <v>188</v>
      </c>
    </row>
    <row r="37" spans="2:7" ht="15" customHeight="1" x14ac:dyDescent="0.3">
      <c r="B37" s="12" t="s">
        <v>189</v>
      </c>
      <c r="C37" s="13"/>
      <c r="D37" s="13"/>
      <c r="E37" s="13"/>
      <c r="F37" s="13"/>
      <c r="G37" s="13"/>
    </row>
    <row r="38" spans="2:7" ht="15" customHeight="1" x14ac:dyDescent="0.3">
      <c r="B38" s="5" t="s">
        <v>190</v>
      </c>
      <c r="C38" s="16">
        <f>D22</f>
        <v>8908116</v>
      </c>
      <c r="D38" s="41" t="s">
        <v>154</v>
      </c>
      <c r="E38" s="41" t="s">
        <v>154</v>
      </c>
      <c r="F38" s="41" t="s">
        <v>154</v>
      </c>
    </row>
    <row r="39" spans="2:7" ht="15" customHeight="1" x14ac:dyDescent="0.3">
      <c r="B39" s="49" t="s">
        <v>191</v>
      </c>
      <c r="C39" s="16">
        <f>SUM(D29:F29)</f>
        <v>-701362.33050221018</v>
      </c>
      <c r="D39" s="41" t="s">
        <v>154</v>
      </c>
      <c r="E39" s="41" t="s">
        <v>154</v>
      </c>
      <c r="F39" s="41" t="s">
        <v>154</v>
      </c>
    </row>
    <row r="40" spans="2:7" ht="15" customHeight="1" x14ac:dyDescent="0.3">
      <c r="B40" s="5" t="s">
        <v>187</v>
      </c>
      <c r="C40" s="16">
        <f>C35</f>
        <v>4929306.6258168006</v>
      </c>
      <c r="D40" s="41" t="s">
        <v>154</v>
      </c>
      <c r="E40" s="41" t="s">
        <v>154</v>
      </c>
      <c r="F40" s="41" t="s">
        <v>154</v>
      </c>
    </row>
    <row r="41" spans="2:7" ht="15" customHeight="1" x14ac:dyDescent="0.3">
      <c r="B41" s="4" t="s">
        <v>192</v>
      </c>
      <c r="C41" s="16">
        <f>C38+C39+C40</f>
        <v>13136060.295314591</v>
      </c>
      <c r="D41" s="41" t="s">
        <v>154</v>
      </c>
      <c r="E41" s="41" t="s">
        <v>154</v>
      </c>
      <c r="F41" s="41" t="s">
        <v>154</v>
      </c>
    </row>
    <row r="42" spans="2:7" ht="15" customHeight="1" x14ac:dyDescent="0.3">
      <c r="B42" s="4" t="s">
        <v>193</v>
      </c>
      <c r="C42" s="50">
        <f>C41/C8</f>
        <v>10.180530209216524</v>
      </c>
      <c r="D42" s="41" t="s">
        <v>154</v>
      </c>
      <c r="E42" s="41" t="s">
        <v>154</v>
      </c>
      <c r="F42" s="41" t="s">
        <v>154</v>
      </c>
    </row>
    <row r="43" spans="2:7" ht="15" customHeight="1" x14ac:dyDescent="0.3">
      <c r="B43" s="5" t="s">
        <v>194</v>
      </c>
      <c r="C43" s="43">
        <f>C7</f>
        <v>18.38</v>
      </c>
      <c r="D43" s="41" t="s">
        <v>154</v>
      </c>
      <c r="E43" s="41" t="s">
        <v>154</v>
      </c>
      <c r="F43" s="41" t="s">
        <v>154</v>
      </c>
    </row>
    <row r="44" spans="2:7" ht="15" customHeight="1" x14ac:dyDescent="0.3">
      <c r="B44" s="4" t="s">
        <v>195</v>
      </c>
      <c r="C44" s="51">
        <f>C42/C43-1</f>
        <v>-0.4461082584757059</v>
      </c>
      <c r="D44" s="41" t="s">
        <v>154</v>
      </c>
      <c r="E44" s="41" t="s">
        <v>154</v>
      </c>
      <c r="F44" s="41" t="s">
        <v>154</v>
      </c>
    </row>
    <row r="46" spans="2:7" ht="15" customHeight="1" x14ac:dyDescent="0.3">
      <c r="B46" s="52" t="s">
        <v>196</v>
      </c>
      <c r="C46" s="13"/>
      <c r="D46" s="13"/>
      <c r="E46" s="13"/>
      <c r="F46" s="13"/>
      <c r="G46" s="13"/>
    </row>
    <row r="47" spans="2:7" ht="15" customHeight="1" x14ac:dyDescent="0.3">
      <c r="B47" s="5" t="s">
        <v>197</v>
      </c>
      <c r="C47" s="45">
        <f>(C32-C19)/(C18-C19)</f>
        <v>1.6006402561024411</v>
      </c>
      <c r="D47" s="41" t="s">
        <v>154</v>
      </c>
      <c r="E47" s="41" t="s">
        <v>154</v>
      </c>
      <c r="F47" s="41" t="s">
        <v>154</v>
      </c>
      <c r="G47" s="8" t="s">
        <v>198</v>
      </c>
    </row>
    <row r="48" spans="2:7" ht="15" customHeight="1" x14ac:dyDescent="0.3">
      <c r="B48" s="5" t="s">
        <v>199</v>
      </c>
      <c r="C48" s="43">
        <f>C47*C11</f>
        <v>11.747868241283085</v>
      </c>
      <c r="D48" s="41" t="s">
        <v>154</v>
      </c>
      <c r="E48" s="41" t="s">
        <v>154</v>
      </c>
      <c r="F48" s="41" t="s">
        <v>154</v>
      </c>
      <c r="G48" s="8" t="s">
        <v>200</v>
      </c>
    </row>
    <row r="49" spans="2:7" ht="15" customHeight="1" x14ac:dyDescent="0.3">
      <c r="B49" s="5"/>
    </row>
    <row r="50" spans="2:7" ht="15" customHeight="1" x14ac:dyDescent="0.3">
      <c r="B50" s="53" t="s">
        <v>201</v>
      </c>
    </row>
    <row r="51" spans="2:7" ht="15" customHeight="1" x14ac:dyDescent="0.3">
      <c r="B51" s="5" t="s">
        <v>202</v>
      </c>
      <c r="C51" s="45">
        <f>C12</f>
        <v>2.504264374006095</v>
      </c>
      <c r="D51" s="41" t="s">
        <v>154</v>
      </c>
      <c r="E51" s="41" t="s">
        <v>154</v>
      </c>
      <c r="F51" s="41" t="s">
        <v>154</v>
      </c>
      <c r="G51" s="8"/>
    </row>
    <row r="52" spans="2:7" ht="15" customHeight="1" x14ac:dyDescent="0.3">
      <c r="B52" s="4" t="s">
        <v>203</v>
      </c>
      <c r="C52" s="51">
        <f>C51*(C18-C19)+C19</f>
        <v>0.29032626682564922</v>
      </c>
      <c r="D52" s="41" t="s">
        <v>154</v>
      </c>
      <c r="E52" s="41" t="s">
        <v>154</v>
      </c>
      <c r="F52" s="41" t="s">
        <v>154</v>
      </c>
      <c r="G52" s="8"/>
    </row>
    <row r="55" spans="2:7" ht="15" customHeight="1" x14ac:dyDescent="0.3">
      <c r="B55" s="54" t="s">
        <v>204</v>
      </c>
    </row>
    <row r="56" spans="2:7" ht="15" customHeight="1" x14ac:dyDescent="0.3">
      <c r="B56" s="8" t="s">
        <v>205</v>
      </c>
    </row>
    <row r="58" spans="2:7" ht="15" customHeight="1" x14ac:dyDescent="0.3">
      <c r="B58" s="5" t="s">
        <v>169</v>
      </c>
      <c r="C58" s="55">
        <f>C38</f>
        <v>8908116</v>
      </c>
      <c r="D58" s="41" t="s">
        <v>154</v>
      </c>
      <c r="E58" s="41" t="s">
        <v>154</v>
      </c>
      <c r="F58" s="41" t="s">
        <v>154</v>
      </c>
    </row>
    <row r="59" spans="2:7" ht="15" customHeight="1" x14ac:dyDescent="0.3">
      <c r="B59" s="5" t="s">
        <v>191</v>
      </c>
      <c r="C59" s="55">
        <f>C39</f>
        <v>-701362.33050221018</v>
      </c>
      <c r="D59" s="41" t="s">
        <v>154</v>
      </c>
      <c r="E59" s="41" t="s">
        <v>154</v>
      </c>
      <c r="F59" s="41" t="s">
        <v>154</v>
      </c>
    </row>
    <row r="60" spans="2:7" ht="15" customHeight="1" x14ac:dyDescent="0.3">
      <c r="B60" s="5" t="s">
        <v>187</v>
      </c>
      <c r="C60" s="55">
        <f>C40</f>
        <v>4929306.6258168006</v>
      </c>
      <c r="D60" s="41" t="s">
        <v>154</v>
      </c>
      <c r="E60" s="41" t="s">
        <v>154</v>
      </c>
      <c r="F60" s="41" t="s">
        <v>154</v>
      </c>
    </row>
    <row r="61" spans="2:7" ht="15" customHeight="1" x14ac:dyDescent="0.3">
      <c r="B61" s="5" t="s">
        <v>192</v>
      </c>
      <c r="C61" s="55">
        <f>C41</f>
        <v>13136060.295314591</v>
      </c>
      <c r="D61" s="41" t="s">
        <v>154</v>
      </c>
      <c r="E61" s="41" t="s">
        <v>154</v>
      </c>
      <c r="F61" s="41" t="s">
        <v>154</v>
      </c>
    </row>
    <row r="62" spans="2:7" ht="15" customHeight="1" x14ac:dyDescent="0.3">
      <c r="B62" s="5" t="s">
        <v>206</v>
      </c>
      <c r="C62" s="22">
        <f>C40/C41</f>
        <v>0.37525000000000003</v>
      </c>
      <c r="D62" s="41" t="s">
        <v>154</v>
      </c>
      <c r="E62" s="41" t="s">
        <v>154</v>
      </c>
      <c r="F62" s="41" t="s">
        <v>154</v>
      </c>
    </row>
    <row r="63" spans="2:7" ht="15" customHeight="1" x14ac:dyDescent="0.3">
      <c r="B63" s="5" t="s">
        <v>207</v>
      </c>
      <c r="C63" s="43">
        <f>C38/C8</f>
        <v>6.9038465115413947</v>
      </c>
      <c r="D63" s="41" t="s">
        <v>154</v>
      </c>
      <c r="E63" s="41" t="s">
        <v>154</v>
      </c>
      <c r="F63" s="41" t="s">
        <v>154</v>
      </c>
    </row>
    <row r="64" spans="2:7" ht="15" customHeight="1" x14ac:dyDescent="0.3">
      <c r="B64" s="5" t="s">
        <v>208</v>
      </c>
      <c r="C64" s="43">
        <f>C42</f>
        <v>10.180530209216524</v>
      </c>
      <c r="D64" s="41" t="s">
        <v>154</v>
      </c>
      <c r="E64" s="41" t="s">
        <v>154</v>
      </c>
      <c r="F64" s="41" t="s">
        <v>154</v>
      </c>
    </row>
    <row r="65" spans="2:7" ht="15" customHeight="1" x14ac:dyDescent="0.3">
      <c r="B65" s="4" t="s">
        <v>209</v>
      </c>
      <c r="C65" s="50">
        <f>C42-C38/C8</f>
        <v>3.2766836976751295</v>
      </c>
      <c r="D65" s="41" t="s">
        <v>154</v>
      </c>
      <c r="E65" s="41" t="s">
        <v>154</v>
      </c>
      <c r="F65" s="41" t="s">
        <v>154</v>
      </c>
    </row>
    <row r="67" spans="2:7" ht="15" customHeight="1" x14ac:dyDescent="0.3">
      <c r="B67" s="39" t="s">
        <v>210</v>
      </c>
      <c r="C67" s="13"/>
      <c r="D67" s="13"/>
      <c r="E67" s="13"/>
      <c r="F67" s="13"/>
      <c r="G67" s="13"/>
    </row>
    <row r="68" spans="2:7" ht="15" customHeight="1" x14ac:dyDescent="0.3">
      <c r="B68" s="5" t="s">
        <v>181</v>
      </c>
      <c r="C68" s="56">
        <v>0.12</v>
      </c>
      <c r="D68" s="56">
        <v>0.16</v>
      </c>
      <c r="E68" s="56">
        <v>0.2</v>
      </c>
      <c r="F68" s="56">
        <v>0.24</v>
      </c>
      <c r="G68" s="56"/>
    </row>
    <row r="69" spans="2:7" ht="15" customHeight="1" x14ac:dyDescent="0.3">
      <c r="B69" s="4" t="s">
        <v>193</v>
      </c>
      <c r="C69" s="43">
        <f>($C$38+$C$39+($F$26*(C68-$C$18)/($C$18-$C$19))*$F$28)/$C$8</f>
        <v>5.0902651046082603</v>
      </c>
      <c r="D69" s="43">
        <f>($C$38+$C$39+($F$26*(D68-$C$18)/($C$18-$C$19))*$F$28)/$C$8</f>
        <v>7.6353976569123923</v>
      </c>
      <c r="E69" s="43">
        <f>($C$38+$C$39+($F$26*(E68-$C$18)/($C$18-$C$19))*$F$28)/$C$8</f>
        <v>10.180530209216524</v>
      </c>
      <c r="F69" s="43">
        <f>($C$38+$C$39+($F$26*(F68-$C$18)/($C$18-$C$19))*$F$28)/$C$8</f>
        <v>12.725662761520651</v>
      </c>
      <c r="G69" s="43"/>
    </row>
    <row r="70" spans="2:7" ht="15" customHeight="1" x14ac:dyDescent="0.3">
      <c r="B70" s="5" t="s">
        <v>211</v>
      </c>
      <c r="C70" s="57">
        <f>C69/$C$7-1</f>
        <v>-0.72305412923785306</v>
      </c>
      <c r="D70" s="57">
        <f>D69/$C$7-1</f>
        <v>-0.58458119385677954</v>
      </c>
      <c r="E70" s="57">
        <f>E69/$C$7-1</f>
        <v>-0.4461082584757059</v>
      </c>
      <c r="F70" s="57">
        <f>F69/$C$7-1</f>
        <v>-0.30763532309463271</v>
      </c>
      <c r="G70" s="57"/>
    </row>
    <row r="72" spans="2:7" ht="15" customHeight="1" x14ac:dyDescent="0.3">
      <c r="B72" s="8" t="s">
        <v>212</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I14"/>
  <sheetViews>
    <sheetView showGridLines="0" zoomScaleNormal="100" workbookViewId="0">
      <selection activeCell="I19" sqref="I19"/>
    </sheetView>
  </sheetViews>
  <sheetFormatPr defaultColWidth="8.6640625" defaultRowHeight="14.4" x14ac:dyDescent="0.3"/>
  <cols>
    <col min="1" max="1" width="2" customWidth="1"/>
    <col min="2" max="2" width="30" customWidth="1"/>
    <col min="3" max="8" width="14" customWidth="1"/>
    <col min="9" max="9" width="46" customWidth="1"/>
  </cols>
  <sheetData>
    <row r="2" spans="2:9" ht="15" customHeight="1" x14ac:dyDescent="0.3">
      <c r="B2" s="20" t="s">
        <v>213</v>
      </c>
    </row>
    <row r="3" spans="2:9" ht="15" customHeight="1" x14ac:dyDescent="0.3">
      <c r="B3" s="8" t="s">
        <v>214</v>
      </c>
    </row>
    <row r="4" spans="2:9" ht="15" customHeight="1" x14ac:dyDescent="0.3">
      <c r="B4" s="44" t="s">
        <v>215</v>
      </c>
    </row>
    <row r="6" spans="2:9" ht="26.25" customHeight="1" x14ac:dyDescent="0.3">
      <c r="B6" s="58" t="s">
        <v>216</v>
      </c>
      <c r="C6" s="58" t="s">
        <v>217</v>
      </c>
      <c r="D6" s="58" t="s">
        <v>218</v>
      </c>
      <c r="E6" s="58" t="s">
        <v>219</v>
      </c>
      <c r="F6" s="58" t="s">
        <v>220</v>
      </c>
      <c r="G6" s="58" t="s">
        <v>221</v>
      </c>
      <c r="H6" s="58" t="s">
        <v>222</v>
      </c>
    </row>
    <row r="7" spans="2:9" ht="15" customHeight="1" x14ac:dyDescent="0.3">
      <c r="B7" s="5" t="s">
        <v>163</v>
      </c>
      <c r="C7" s="59">
        <v>1.03798670465337</v>
      </c>
      <c r="D7" s="59">
        <v>2.0697652314418802</v>
      </c>
      <c r="E7" s="59">
        <v>1.8707450606998299</v>
      </c>
      <c r="F7" s="59">
        <v>1.5508406725380299</v>
      </c>
      <c r="G7" s="60">
        <f>IFERROR(MEDIAN(C7:F7),"")</f>
        <v>1.71079286661893</v>
      </c>
      <c r="H7" s="61">
        <f>'4. Valuation'!C12</f>
        <v>2.504264374006095</v>
      </c>
      <c r="I7" s="44" t="s">
        <v>223</v>
      </c>
    </row>
    <row r="8" spans="2:9" ht="15" customHeight="1" x14ac:dyDescent="0.3">
      <c r="B8" s="5" t="s">
        <v>133</v>
      </c>
      <c r="C8" s="18">
        <v>0.11799999999999999</v>
      </c>
      <c r="D8" s="18">
        <v>0.1804</v>
      </c>
      <c r="E8" s="18">
        <v>0.252</v>
      </c>
      <c r="F8" s="18">
        <v>0.159</v>
      </c>
      <c r="G8" s="62">
        <f>IFERROR(MEDIAN(C8:F8),"")</f>
        <v>0.16970000000000002</v>
      </c>
      <c r="H8" s="63">
        <f>IFERROR('3. Projections'!D25,"")</f>
        <v>8.4281892051383256E-2</v>
      </c>
      <c r="I8" s="8" t="s">
        <v>224</v>
      </c>
    </row>
    <row r="9" spans="2:9" ht="15" customHeight="1" x14ac:dyDescent="0.3">
      <c r="B9" s="5" t="s">
        <v>225</v>
      </c>
      <c r="C9" s="18">
        <v>0.1</v>
      </c>
      <c r="D9" s="18">
        <v>0.26</v>
      </c>
      <c r="E9" s="18">
        <v>0.02</v>
      </c>
      <c r="F9" s="18">
        <v>0.11600000000000001</v>
      </c>
      <c r="G9" s="62">
        <f>IFERROR(MEDIAN(C9:F9),"")</f>
        <v>0.10800000000000001</v>
      </c>
      <c r="H9" s="63">
        <f>'3. Projections'!D22</f>
        <v>0.3950007205217092</v>
      </c>
      <c r="I9" s="8" t="s">
        <v>226</v>
      </c>
    </row>
    <row r="11" spans="2:9" ht="15" customHeight="1" x14ac:dyDescent="0.3">
      <c r="B11" s="4" t="s">
        <v>227</v>
      </c>
      <c r="C11" s="64">
        <f>IFERROR(G7*'4. Valuation'!C11,"")</f>
        <v>12.556331198432568</v>
      </c>
    </row>
    <row r="12" spans="2:9" ht="15" customHeight="1" x14ac:dyDescent="0.3">
      <c r="B12" s="5" t="s">
        <v>194</v>
      </c>
      <c r="C12" s="65">
        <f>'4. Valuation'!C7</f>
        <v>18.38</v>
      </c>
    </row>
    <row r="14" spans="2:9" ht="15" customHeight="1" x14ac:dyDescent="0.3">
      <c r="B14" s="8"/>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I14"/>
  <sheetViews>
    <sheetView showGridLines="0" tabSelected="1" zoomScaleNormal="100" workbookViewId="0">
      <selection activeCell="J16" sqref="J16"/>
    </sheetView>
  </sheetViews>
  <sheetFormatPr defaultColWidth="8.6640625" defaultRowHeight="14.4" x14ac:dyDescent="0.3"/>
  <cols>
    <col min="1" max="1" width="2" customWidth="1"/>
    <col min="2" max="2" width="30" customWidth="1"/>
    <col min="3" max="8" width="14" customWidth="1"/>
    <col min="9" max="9" width="46" customWidth="1"/>
  </cols>
  <sheetData>
    <row r="2" spans="2:9" ht="15" customHeight="1" x14ac:dyDescent="0.3">
      <c r="B2" s="20" t="s">
        <v>228</v>
      </c>
    </row>
    <row r="3" spans="2:9" ht="15" customHeight="1" x14ac:dyDescent="0.3">
      <c r="B3" s="8" t="s">
        <v>229</v>
      </c>
    </row>
    <row r="4" spans="2:9" ht="15" customHeight="1" x14ac:dyDescent="0.3">
      <c r="B4" s="44" t="s">
        <v>230</v>
      </c>
    </row>
    <row r="6" spans="2:9" ht="26.25" customHeight="1" x14ac:dyDescent="0.3">
      <c r="B6" s="58" t="s">
        <v>216</v>
      </c>
      <c r="C6" s="58" t="s">
        <v>231</v>
      </c>
      <c r="D6" s="58" t="s">
        <v>232</v>
      </c>
      <c r="E6" s="58" t="s">
        <v>233</v>
      </c>
      <c r="F6" s="58" t="s">
        <v>234</v>
      </c>
      <c r="G6" s="58" t="s">
        <v>221</v>
      </c>
      <c r="H6" s="58" t="s">
        <v>222</v>
      </c>
    </row>
    <row r="7" spans="2:9" ht="15" customHeight="1" x14ac:dyDescent="0.3">
      <c r="B7" s="5" t="s">
        <v>235</v>
      </c>
      <c r="C7" s="59">
        <v>1.89456869009585</v>
      </c>
      <c r="D7" s="59">
        <v>1.1117699377408801</v>
      </c>
      <c r="E7" s="59">
        <v>17.231237322515199</v>
      </c>
      <c r="F7" s="59">
        <v>8.8274044795783908</v>
      </c>
      <c r="G7" s="60">
        <f>IFERROR(MEDIAN(C7:F7),"")</f>
        <v>5.3609865848371205</v>
      </c>
      <c r="H7" s="61">
        <f>'4. Valuation'!C9/'3. Projections'!D14</f>
        <v>4.7049531140848879</v>
      </c>
      <c r="I7" s="8" t="s">
        <v>236</v>
      </c>
    </row>
    <row r="8" spans="2:9" ht="15" customHeight="1" x14ac:dyDescent="0.3">
      <c r="B8" s="5" t="s">
        <v>225</v>
      </c>
      <c r="C8" s="18">
        <v>5.0999999999999997E-2</v>
      </c>
      <c r="D8" s="18">
        <v>0.05</v>
      </c>
      <c r="E8" s="18">
        <v>0.38300000000000001</v>
      </c>
      <c r="F8" s="18">
        <v>0.34499999999999997</v>
      </c>
      <c r="G8" s="62">
        <f>IFERROR(MEDIAN(C8:F8),"")</f>
        <v>0.19799999999999998</v>
      </c>
      <c r="H8" s="63">
        <f>'3. Projections'!D22</f>
        <v>0.3950007205217092</v>
      </c>
      <c r="I8" s="8" t="s">
        <v>268</v>
      </c>
    </row>
    <row r="9" spans="2:9" ht="15" customHeight="1" x14ac:dyDescent="0.3">
      <c r="B9" s="5" t="s">
        <v>237</v>
      </c>
      <c r="C9" s="18">
        <v>1.4262779552715699E-2</v>
      </c>
      <c r="D9" s="18">
        <v>0.14360000000000001</v>
      </c>
      <c r="E9" s="18">
        <v>0.41987829614604499</v>
      </c>
      <c r="F9" s="18">
        <v>0.41897233201581002</v>
      </c>
      <c r="G9" s="62">
        <f>IFERROR(MEDIAN(C9:F9),"")</f>
        <v>0.28128616600790501</v>
      </c>
      <c r="H9" s="66">
        <f>'3. Projections'!D23</f>
        <v>0.14894817861576548</v>
      </c>
      <c r="I9" s="8" t="s">
        <v>267</v>
      </c>
    </row>
    <row r="11" spans="2:9" ht="15" customHeight="1" x14ac:dyDescent="0.3">
      <c r="B11" s="4" t="s">
        <v>238</v>
      </c>
      <c r="C11" s="64">
        <f>IFERROR(G7*('3. Projections'!D14/'4. Valuation'!C8),"")</f>
        <v>20.942808788960967</v>
      </c>
    </row>
    <row r="12" spans="2:9" ht="15" customHeight="1" x14ac:dyDescent="0.3">
      <c r="B12" s="5" t="s">
        <v>194</v>
      </c>
      <c r="C12" s="65">
        <f>'4. Valuation'!C7</f>
        <v>18.38</v>
      </c>
    </row>
    <row r="14" spans="2:9" ht="15" customHeight="1" x14ac:dyDescent="0.3">
      <c r="B14" s="8"/>
    </row>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H54"/>
  <sheetViews>
    <sheetView showGridLines="0" topLeftCell="A3" zoomScale="88" zoomScaleNormal="88" workbookViewId="0">
      <selection activeCell="G57" sqref="G57"/>
    </sheetView>
  </sheetViews>
  <sheetFormatPr defaultColWidth="8.6640625" defaultRowHeight="14.4" x14ac:dyDescent="0.3"/>
  <cols>
    <col min="1" max="1" width="2" customWidth="1"/>
    <col min="2" max="2" width="30" customWidth="1"/>
    <col min="3" max="7" width="14" customWidth="1"/>
    <col min="8" max="8" width="50" customWidth="1"/>
  </cols>
  <sheetData>
    <row r="2" spans="2:8" ht="15" customHeight="1" x14ac:dyDescent="0.3">
      <c r="B2" s="67" t="s">
        <v>239</v>
      </c>
    </row>
    <row r="3" spans="2:8" ht="15" customHeight="1" x14ac:dyDescent="0.3">
      <c r="B3" s="8" t="s">
        <v>240</v>
      </c>
    </row>
    <row r="5" spans="2:8" ht="15" customHeight="1" x14ac:dyDescent="0.3">
      <c r="B5" s="8" t="s">
        <v>241</v>
      </c>
    </row>
    <row r="7" spans="2:8" ht="15" customHeight="1" x14ac:dyDescent="0.3">
      <c r="B7" s="68" t="s">
        <v>242</v>
      </c>
      <c r="C7" s="28">
        <v>0.1</v>
      </c>
      <c r="D7" s="28">
        <v>0.115</v>
      </c>
      <c r="E7" s="28">
        <v>0.128</v>
      </c>
      <c r="F7" s="28">
        <v>0.14000000000000001</v>
      </c>
      <c r="G7" s="28">
        <v>0.155</v>
      </c>
    </row>
    <row r="8" spans="2:8" ht="15" customHeight="1" x14ac:dyDescent="0.3">
      <c r="B8" s="69">
        <v>0.12</v>
      </c>
      <c r="C8" s="43">
        <f>IF((C$7-'4. Valuation'!$C$19)&lt;=0,"n/a",(($B8-'4. Valuation'!$C$19)/(C$7-'4. Valuation'!$C$19))*'4. Valuation'!$C$11)</f>
        <v>9.7859742449888056</v>
      </c>
      <c r="D8" s="43">
        <f>IF((D$7-'4. Valuation'!$C$19)&lt;=0,"n/a",(($B8-'4. Valuation'!$C$19)/(D$7-'4. Valuation'!$C$19))*'4. Valuation'!$C$11)</f>
        <v>7.8287793959910452</v>
      </c>
      <c r="E8" s="43">
        <f>IF((E$7-'4. Valuation'!$C$19)&lt;=0,"n/a",(($B8-'4. Valuation'!$C$19)/(E$7-'4. Valuation'!$C$19))*'4. Valuation'!$C$11)</f>
        <v>6.6722551670378234</v>
      </c>
      <c r="F8" s="43">
        <f>IF((F$7-'4. Valuation'!$C$19)&lt;=0,"n/a",(($B8-'4. Valuation'!$C$19)/(F$7-'4. Valuation'!$C$19))*'4. Valuation'!$C$11)</f>
        <v>5.8715845469932839</v>
      </c>
      <c r="G8" s="43">
        <f>IF((G$7-'4. Valuation'!$C$19)&lt;=0,"n/a",(($B8-'4. Valuation'!$C$19)/(G$7-'4. Valuation'!$C$19))*'4. Valuation'!$C$11)</f>
        <v>5.1057256930376393</v>
      </c>
    </row>
    <row r="9" spans="2:8" ht="15" customHeight="1" x14ac:dyDescent="0.3">
      <c r="B9" s="69">
        <v>0.16</v>
      </c>
      <c r="C9" s="43">
        <f>IF((C$7-'4. Valuation'!$C$19)&lt;=0,"n/a",(($B9-'4. Valuation'!$C$19)/(C$7-'4. Valuation'!$C$19))*'4. Valuation'!$C$11)</f>
        <v>14.678961367483211</v>
      </c>
      <c r="D9" s="43">
        <f>IF((D$7-'4. Valuation'!$C$19)&lt;=0,"n/a",(($B9-'4. Valuation'!$C$19)/(D$7-'4. Valuation'!$C$19))*'4. Valuation'!$C$11)</f>
        <v>11.743169093986568</v>
      </c>
      <c r="E9" s="43">
        <f>IF((E$7-'4. Valuation'!$C$19)&lt;=0,"n/a",(($B9-'4. Valuation'!$C$19)/(E$7-'4. Valuation'!$C$19))*'4. Valuation'!$C$11)</f>
        <v>10.008382750556738</v>
      </c>
      <c r="F9" s="43">
        <f>IF((F$7-'4. Valuation'!$C$19)&lt;=0,"n/a",(($B9-'4. Valuation'!$C$19)/(F$7-'4. Valuation'!$C$19))*'4. Valuation'!$C$11)</f>
        <v>8.8073768204899281</v>
      </c>
      <c r="G9" s="43">
        <f>IF((G$7-'4. Valuation'!$C$19)&lt;=0,"n/a",(($B9-'4. Valuation'!$C$19)/(G$7-'4. Valuation'!$C$19))*'4. Valuation'!$C$11)</f>
        <v>7.658588539556459</v>
      </c>
    </row>
    <row r="10" spans="2:8" ht="15" customHeight="1" x14ac:dyDescent="0.3">
      <c r="B10" s="69">
        <v>0.2</v>
      </c>
      <c r="C10" s="43">
        <f>IF((C$7-'4. Valuation'!$C$19)&lt;=0,"n/a",(($B10-'4. Valuation'!$C$19)/(C$7-'4. Valuation'!$C$19))*'4. Valuation'!$C$11)</f>
        <v>19.571948489977615</v>
      </c>
      <c r="D10" s="43">
        <f>IF((D$7-'4. Valuation'!$C$19)&lt;=0,"n/a",(($B10-'4. Valuation'!$C$19)/(D$7-'4. Valuation'!$C$19))*'4. Valuation'!$C$11)</f>
        <v>15.65755879198209</v>
      </c>
      <c r="E10" s="43">
        <f>IF((E$7-'4. Valuation'!$C$19)&lt;=0,"n/a",(($B10-'4. Valuation'!$C$19)/(E$7-'4. Valuation'!$C$19))*'4. Valuation'!$C$11)</f>
        <v>13.344510334075649</v>
      </c>
      <c r="F10" s="43">
        <f>IF((F$7-'4. Valuation'!$C$19)&lt;=0,"n/a",(($B10-'4. Valuation'!$C$19)/(F$7-'4. Valuation'!$C$19))*'4. Valuation'!$C$11)</f>
        <v>11.74316909398657</v>
      </c>
      <c r="G10" s="43">
        <f>IF((G$7-'4. Valuation'!$C$19)&lt;=0,"n/a",(($B10-'4. Valuation'!$C$19)/(G$7-'4. Valuation'!$C$19))*'4. Valuation'!$C$11)</f>
        <v>10.21145138607528</v>
      </c>
    </row>
    <row r="11" spans="2:8" ht="15" customHeight="1" x14ac:dyDescent="0.3">
      <c r="B11" s="69">
        <v>0.24</v>
      </c>
      <c r="C11" s="43">
        <f>IF((C$7-'4. Valuation'!$C$19)&lt;=0,"n/a",(($B11-'4. Valuation'!$C$19)/(C$7-'4. Valuation'!$C$19))*'4. Valuation'!$C$11)</f>
        <v>24.464935612472015</v>
      </c>
      <c r="D11" s="43">
        <f>IF((D$7-'4. Valuation'!$C$19)&lt;=0,"n/a",(($B11-'4. Valuation'!$C$19)/(D$7-'4. Valuation'!$C$19))*'4. Valuation'!$C$11)</f>
        <v>19.571948489977611</v>
      </c>
      <c r="E11" s="43">
        <f>IF((E$7-'4. Valuation'!$C$19)&lt;=0,"n/a",(($B11-'4. Valuation'!$C$19)/(E$7-'4. Valuation'!$C$19))*'4. Valuation'!$C$11)</f>
        <v>16.680637917594559</v>
      </c>
      <c r="F11" s="43">
        <f>IF((F$7-'4. Valuation'!$C$19)&lt;=0,"n/a",(($B11-'4. Valuation'!$C$19)/(F$7-'4. Valuation'!$C$19))*'4. Valuation'!$C$11)</f>
        <v>14.678961367483211</v>
      </c>
      <c r="G11" s="43">
        <f>IF((G$7-'4. Valuation'!$C$19)&lt;=0,"n/a",(($B11-'4. Valuation'!$C$19)/(G$7-'4. Valuation'!$C$19))*'4. Valuation'!$C$11)</f>
        <v>12.764314232594097</v>
      </c>
    </row>
    <row r="12" spans="2:8" ht="15" customHeight="1" x14ac:dyDescent="0.3">
      <c r="B12" s="69">
        <v>0.28000000000000003</v>
      </c>
      <c r="C12" s="43">
        <f>IF((C$7-'4. Valuation'!$C$19)&lt;=0,"n/a",(($B12-'4. Valuation'!$C$19)/(C$7-'4. Valuation'!$C$19))*'4. Valuation'!$C$11)</f>
        <v>29.357922734966426</v>
      </c>
      <c r="D12" s="43">
        <f>IF((D$7-'4. Valuation'!$C$19)&lt;=0,"n/a",(($B12-'4. Valuation'!$C$19)/(D$7-'4. Valuation'!$C$19))*'4. Valuation'!$C$11)</f>
        <v>23.486338187973139</v>
      </c>
      <c r="E12" s="43">
        <f>IF((E$7-'4. Valuation'!$C$19)&lt;=0,"n/a",(($B12-'4. Valuation'!$C$19)/(E$7-'4. Valuation'!$C$19))*'4. Valuation'!$C$11)</f>
        <v>20.016765501113476</v>
      </c>
      <c r="F12" s="43">
        <f>IF((F$7-'4. Valuation'!$C$19)&lt;=0,"n/a",(($B12-'4. Valuation'!$C$19)/(F$7-'4. Valuation'!$C$19))*'4. Valuation'!$C$11)</f>
        <v>17.614753640979856</v>
      </c>
      <c r="G12" s="43">
        <f>IF((G$7-'4. Valuation'!$C$19)&lt;=0,"n/a",(($B12-'4. Valuation'!$C$19)/(G$7-'4. Valuation'!$C$19))*'4. Valuation'!$C$11)</f>
        <v>15.31717707911292</v>
      </c>
    </row>
    <row r="13" spans="2:8" ht="15" customHeight="1" x14ac:dyDescent="0.3">
      <c r="B13" s="69">
        <v>0.32</v>
      </c>
      <c r="C13" s="43">
        <f>IF((C$7-'4. Valuation'!$C$19)&lt;=0,"n/a",(($B13-'4. Valuation'!$C$19)/(C$7-'4. Valuation'!$C$19))*'4. Valuation'!$C$11)</f>
        <v>34.250909857460833</v>
      </c>
      <c r="D13" s="43">
        <f>IF((D$7-'4. Valuation'!$C$19)&lt;=0,"n/a",(($B13-'4. Valuation'!$C$19)/(D$7-'4. Valuation'!$C$19))*'4. Valuation'!$C$11)</f>
        <v>27.40072788596866</v>
      </c>
      <c r="E13" s="43">
        <f>IF((E$7-'4. Valuation'!$C$19)&lt;=0,"n/a",(($B13-'4. Valuation'!$C$19)/(E$7-'4. Valuation'!$C$19))*'4. Valuation'!$C$11)</f>
        <v>23.352893084632385</v>
      </c>
      <c r="F13" s="43">
        <f>IF((F$7-'4. Valuation'!$C$19)&lt;=0,"n/a",(($B13-'4. Valuation'!$C$19)/(F$7-'4. Valuation'!$C$19))*'4. Valuation'!$C$11)</f>
        <v>20.550545914476501</v>
      </c>
      <c r="G13" s="43">
        <f>IF((G$7-'4. Valuation'!$C$19)&lt;=0,"n/a",(($B13-'4. Valuation'!$C$19)/(G$7-'4. Valuation'!$C$19))*'4. Valuation'!$C$11)</f>
        <v>17.87003992563174</v>
      </c>
    </row>
    <row r="15" spans="2:8" ht="15" customHeight="1" x14ac:dyDescent="0.3">
      <c r="B15" s="4" t="s">
        <v>194</v>
      </c>
      <c r="C15" s="43">
        <f>'4. Valuation'!C7</f>
        <v>18.38</v>
      </c>
      <c r="H15" s="44" t="s">
        <v>243</v>
      </c>
    </row>
    <row r="16" spans="2:8" ht="15" customHeight="1" x14ac:dyDescent="0.3">
      <c r="B16" s="4" t="s">
        <v>244</v>
      </c>
      <c r="C16" s="43">
        <f>'4. Valuation'!C42</f>
        <v>10.180530209216524</v>
      </c>
      <c r="H16" s="8" t="s">
        <v>245</v>
      </c>
    </row>
    <row r="18" spans="2:4" ht="15" customHeight="1" x14ac:dyDescent="0.3">
      <c r="B18" s="8" t="s">
        <v>246</v>
      </c>
    </row>
    <row r="21" spans="2:4" ht="15" customHeight="1" x14ac:dyDescent="0.3">
      <c r="B21" s="67" t="s">
        <v>247</v>
      </c>
    </row>
    <row r="22" spans="2:4" ht="15" customHeight="1" x14ac:dyDescent="0.3">
      <c r="B22" s="8" t="s">
        <v>248</v>
      </c>
    </row>
    <row r="24" spans="2:4" ht="15" customHeight="1" x14ac:dyDescent="0.3">
      <c r="B24" s="11"/>
      <c r="C24" s="70" t="s">
        <v>249</v>
      </c>
      <c r="D24" s="70" t="s">
        <v>250</v>
      </c>
    </row>
    <row r="25" spans="2:4" ht="15" customHeight="1" x14ac:dyDescent="0.3">
      <c r="B25" s="5" t="s">
        <v>251</v>
      </c>
      <c r="C25" s="35">
        <v>1.2</v>
      </c>
      <c r="D25" s="35">
        <v>2.2000000000000002</v>
      </c>
    </row>
    <row r="26" spans="2:4" ht="15" customHeight="1" x14ac:dyDescent="0.3">
      <c r="B26" s="5" t="s">
        <v>101</v>
      </c>
      <c r="C26" s="36">
        <f>'2. Assumptions'!C15+C25*'2. Assumptions'!C16</f>
        <v>9.7659999999999997E-2</v>
      </c>
      <c r="D26" s="36">
        <f>'2. Assumptions'!C15+D25*'2. Assumptions'!C16</f>
        <v>0.13996</v>
      </c>
    </row>
    <row r="27" spans="2:4" ht="15" customHeight="1" x14ac:dyDescent="0.3">
      <c r="B27" s="5" t="s">
        <v>181</v>
      </c>
      <c r="C27" s="18">
        <v>0.2</v>
      </c>
      <c r="D27" s="18">
        <v>0.2</v>
      </c>
    </row>
    <row r="28" spans="2:4" ht="15" customHeight="1" x14ac:dyDescent="0.3">
      <c r="B28" s="5" t="s">
        <v>252</v>
      </c>
      <c r="C28" s="45">
        <f>(C27-'2. Assumptions'!C19)/(C26-'2. Assumptions'!C19)</f>
        <v>2.7748872702046481</v>
      </c>
      <c r="D28" s="45">
        <f>(D27-'2. Assumptions'!C19)/(D26-'2. Assumptions'!C19)</f>
        <v>1.6006402561024411</v>
      </c>
    </row>
    <row r="29" spans="2:4" ht="15" customHeight="1" x14ac:dyDescent="0.3">
      <c r="B29" s="4" t="s">
        <v>193</v>
      </c>
      <c r="C29" s="50">
        <f>C28*'4. Valuation'!C11</f>
        <v>20.36623151922749</v>
      </c>
      <c r="D29" s="50">
        <f>D28*'4. Valuation'!C11</f>
        <v>11.747868241283085</v>
      </c>
    </row>
    <row r="30" spans="2:4" ht="15" customHeight="1" x14ac:dyDescent="0.3">
      <c r="B30" s="5" t="s">
        <v>194</v>
      </c>
      <c r="C30" s="43">
        <f>'4. Valuation'!C7</f>
        <v>18.38</v>
      </c>
      <c r="D30" s="43">
        <f>'4. Valuation'!C7</f>
        <v>18.38</v>
      </c>
    </row>
    <row r="31" spans="2:4" ht="15" customHeight="1" x14ac:dyDescent="0.3">
      <c r="B31" s="4" t="s">
        <v>195</v>
      </c>
      <c r="C31" s="51">
        <f>C29/C30-1</f>
        <v>0.10806482694382424</v>
      </c>
      <c r="D31" s="51">
        <f>D29/D30-1</f>
        <v>-0.36083415444596922</v>
      </c>
    </row>
    <row r="32" spans="2:4" ht="15" customHeight="1" x14ac:dyDescent="0.3">
      <c r="B32" s="44" t="s">
        <v>253</v>
      </c>
    </row>
    <row r="36" spans="2:7" ht="15" customHeight="1" x14ac:dyDescent="0.3">
      <c r="B36" s="67" t="s">
        <v>254</v>
      </c>
    </row>
    <row r="37" spans="2:7" ht="15" customHeight="1" x14ac:dyDescent="0.3">
      <c r="B37" s="8" t="s">
        <v>255</v>
      </c>
    </row>
    <row r="39" spans="2:7" ht="15" customHeight="1" x14ac:dyDescent="0.3">
      <c r="B39" s="11"/>
      <c r="C39" s="11" t="s">
        <v>256</v>
      </c>
      <c r="D39" s="11" t="s">
        <v>257</v>
      </c>
      <c r="E39" s="11" t="s">
        <v>258</v>
      </c>
    </row>
    <row r="40" spans="2:7" ht="15" customHeight="1" x14ac:dyDescent="0.3">
      <c r="B40" s="5" t="s">
        <v>99</v>
      </c>
      <c r="C40" s="71">
        <v>2.6</v>
      </c>
      <c r="D40" s="71">
        <v>2.2000000000000002</v>
      </c>
      <c r="E40" s="71">
        <v>1.4</v>
      </c>
    </row>
    <row r="41" spans="2:7" ht="15" customHeight="1" x14ac:dyDescent="0.3">
      <c r="B41" s="5" t="s">
        <v>101</v>
      </c>
      <c r="C41" s="72">
        <f>'2. Assumptions'!C15+C40*'2. Assumptions'!C16</f>
        <v>0.15687999999999999</v>
      </c>
      <c r="D41" s="72">
        <f>'2. Assumptions'!C15+D40*'2. Assumptions'!C16</f>
        <v>0.13996</v>
      </c>
      <c r="E41" s="72">
        <f>'2. Assumptions'!C15+E40*'2. Assumptions'!C16</f>
        <v>0.10611999999999999</v>
      </c>
    </row>
    <row r="42" spans="2:7" ht="15" customHeight="1" x14ac:dyDescent="0.3">
      <c r="B42" s="5" t="s">
        <v>181</v>
      </c>
      <c r="C42" s="73">
        <v>0.14000000000000001</v>
      </c>
      <c r="D42" s="73">
        <v>0.2</v>
      </c>
      <c r="E42" s="73">
        <v>0.26</v>
      </c>
    </row>
    <row r="43" spans="2:7" ht="15" customHeight="1" x14ac:dyDescent="0.3">
      <c r="B43" s="5" t="s">
        <v>259</v>
      </c>
      <c r="C43" s="73">
        <v>3.5000000000000003E-2</v>
      </c>
      <c r="D43" s="73">
        <v>0.04</v>
      </c>
      <c r="E43" s="73">
        <v>4.4999999999999998E-2</v>
      </c>
    </row>
    <row r="44" spans="2:7" ht="15" customHeight="1" x14ac:dyDescent="0.3">
      <c r="B44" s="5" t="s">
        <v>260</v>
      </c>
      <c r="C44" s="74">
        <v>0.85</v>
      </c>
      <c r="D44" s="74">
        <v>1</v>
      </c>
      <c r="E44" s="74">
        <v>1.1499999999999999</v>
      </c>
    </row>
    <row r="45" spans="2:7" ht="15" customHeight="1" x14ac:dyDescent="0.3">
      <c r="B45" s="4" t="s">
        <v>193</v>
      </c>
      <c r="C45" s="75">
        <v>5.03</v>
      </c>
      <c r="D45" s="75">
        <v>10.18</v>
      </c>
      <c r="E45" s="75">
        <v>25.47</v>
      </c>
    </row>
    <row r="46" spans="2:7" ht="15" customHeight="1" x14ac:dyDescent="0.3">
      <c r="B46" s="5" t="s">
        <v>194</v>
      </c>
      <c r="C46" s="76">
        <f>'4. Valuation'!C7</f>
        <v>18.38</v>
      </c>
      <c r="D46" s="76">
        <f>'4. Valuation'!C7</f>
        <v>18.38</v>
      </c>
      <c r="E46" s="76">
        <f>'4. Valuation'!C7</f>
        <v>18.38</v>
      </c>
      <c r="G46" s="8" t="s">
        <v>261</v>
      </c>
    </row>
    <row r="47" spans="2:7" ht="15" customHeight="1" x14ac:dyDescent="0.3">
      <c r="B47" s="4" t="s">
        <v>195</v>
      </c>
      <c r="C47" s="77">
        <f>C45/C46-1</f>
        <v>-0.72633297062023938</v>
      </c>
      <c r="D47" s="77">
        <f>D45/D46-1</f>
        <v>-0.44613710554951036</v>
      </c>
      <c r="E47" s="77">
        <f>E45/E46-1</f>
        <v>0.3857453754080522</v>
      </c>
    </row>
    <row r="49" spans="2:7" ht="15" customHeight="1" x14ac:dyDescent="0.3">
      <c r="B49" s="12" t="s">
        <v>262</v>
      </c>
      <c r="C49" s="13"/>
      <c r="D49" s="13"/>
      <c r="E49" s="13"/>
      <c r="F49" s="13"/>
      <c r="G49" s="13"/>
    </row>
    <row r="50" spans="2:7" ht="48" customHeight="1" x14ac:dyDescent="0.3">
      <c r="B50" s="4" t="s">
        <v>256</v>
      </c>
      <c r="C50" s="1" t="s">
        <v>263</v>
      </c>
      <c r="D50" s="1"/>
      <c r="E50" s="1"/>
      <c r="F50" s="1"/>
      <c r="G50" s="1"/>
    </row>
    <row r="51" spans="2:7" ht="48" customHeight="1" x14ac:dyDescent="0.3">
      <c r="B51" s="4" t="s">
        <v>257</v>
      </c>
      <c r="C51" s="1" t="s">
        <v>264</v>
      </c>
      <c r="D51" s="1"/>
      <c r="E51" s="1"/>
      <c r="F51" s="1"/>
      <c r="G51" s="1"/>
    </row>
    <row r="52" spans="2:7" ht="48" customHeight="1" x14ac:dyDescent="0.3">
      <c r="B52" s="4" t="s">
        <v>258</v>
      </c>
      <c r="C52" s="1" t="s">
        <v>265</v>
      </c>
      <c r="D52" s="1"/>
      <c r="E52" s="1"/>
      <c r="F52" s="1"/>
      <c r="G52" s="1"/>
    </row>
    <row r="54" spans="2:7" ht="15" customHeight="1" x14ac:dyDescent="0.3">
      <c r="B54" s="8" t="s">
        <v>266</v>
      </c>
    </row>
  </sheetData>
  <mergeCells count="3">
    <mergeCell ref="C50:G50"/>
    <mergeCell ref="C51:G51"/>
    <mergeCell ref="C52:G5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README</vt:lpstr>
      <vt:lpstr>1. Historicals</vt:lpstr>
      <vt:lpstr>2. Assumptions</vt:lpstr>
      <vt:lpstr>3. Projections</vt:lpstr>
      <vt:lpstr>4. Valuation</vt:lpstr>
      <vt:lpstr>5. Comps - Banks</vt:lpstr>
      <vt:lpstr>6. Comps - Fintechs</vt:lpstr>
      <vt:lpstr>7. Sensitivity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tobumone@outlook.com</cp:lastModifiedBy>
  <cp:revision>0</cp:revision>
  <dcterms:created xsi:type="dcterms:W3CDTF">2026-07-27T21:53:04Z</dcterms:created>
  <dcterms:modified xsi:type="dcterms:W3CDTF">2026-09-01T14:58:00Z</dcterms:modified>
  <dc:language>en-US</dc:language>
</cp:coreProperties>
</file>